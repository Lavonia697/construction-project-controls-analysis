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E29627F097AE10E0/Documents/"/>
    </mc:Choice>
  </mc:AlternateContent>
  <xr:revisionPtr revIDLastSave="3137" documentId="8_{24942DD1-FB67-45B7-A6C1-DF23B37F4E6C}" xr6:coauthVersionLast="47" xr6:coauthVersionMax="47" xr10:uidLastSave="{24A4FE8D-3CA7-4B3B-9965-CA68FFEC6E33}"/>
  <bookViews>
    <workbookView xWindow="10140" yWindow="0" windowWidth="10455" windowHeight="10905" firstSheet="4" activeTab="4" xr2:uid="{00000000-000D-0000-FFFF-FFFF00000000}"/>
  </bookViews>
  <sheets>
    <sheet name="Raw_Data" sheetId="1" r:id="rId1"/>
    <sheet name="Cleaned Data" sheetId="4" r:id="rId2"/>
    <sheet name="Business_Insights" sheetId="18" r:id="rId3"/>
    <sheet name="Analysis_Methodology" sheetId="19" r:id="rId4"/>
    <sheet name="Data_Cleaning_Process" sheetId="20" r:id="rId5"/>
    <sheet name="PT_Project_Overview" sheetId="15" r:id="rId6"/>
    <sheet name="Dashboard" sheetId="17" r:id="rId7"/>
    <sheet name="Project_Workflow_&amp;_Analysis_Not" sheetId="5" r:id="rId8"/>
    <sheet name="Data_Dictionary" sheetId="2" r:id="rId9"/>
    <sheet name="Project_Brief" sheetId="3" r:id="rId10"/>
  </sheets>
  <externalReferences>
    <externalReference r:id="rId11"/>
  </externalReferences>
  <definedNames>
    <definedName name="_xlnm._FilterDatabase" localSheetId="1" hidden="1">'Cleaned Data'!$L$1:$R$100</definedName>
    <definedName name="_xlnm._FilterDatabase" localSheetId="8" hidden="1">[1]Sheet1!$A$1:$D$17</definedName>
    <definedName name="_xlnm._FilterDatabase" localSheetId="9" hidden="1">Project_Brief!$A$1:$A$15</definedName>
    <definedName name="_xlnm._FilterDatabase" localSheetId="0" hidden="1">Raw_Data!$A$1:$P$101</definedName>
    <definedName name="_xlcn.WorksheetConnection_ExcelConstructionProjectControls0PerformanceAnalysis.xlsxTable11" hidden="1">Table1[]</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1" r:id="rId23"/>
    <pivotCache cacheId="12" r:id="rId24"/>
  </pivotCaches>
  <fileRecoveryPr repairLoad="1"/>
  <extLst>
    <ext xmlns:x15="http://schemas.microsoft.com/office/spreadsheetml/2010/11/main" uri="{FCE2AD5D-F65C-4FA6-A056-5C36A1767C68}">
      <x15:dataModel>
        <x15:modelTables>
          <x15:modelTable id="Table1" name="Table1" connection="WorksheetConnection_Excel Construction Project Controls ^0 Performance Analysis.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4" l="1"/>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AD2" i="4"/>
  <c r="AD3" i="4"/>
  <c r="AD4" i="4"/>
  <c r="AD5" i="4"/>
  <c r="AD6" i="4"/>
  <c r="AD7" i="4"/>
  <c r="AD8" i="4"/>
  <c r="AD9" i="4"/>
  <c r="AD10" i="4"/>
  <c r="AD11" i="4"/>
  <c r="AD12" i="4"/>
  <c r="AD13" i="4"/>
  <c r="AD14" i="4"/>
  <c r="AD15" i="4"/>
  <c r="AD16" i="4"/>
  <c r="AD17" i="4"/>
  <c r="AD18" i="4"/>
  <c r="AD19" i="4"/>
  <c r="AD20" i="4"/>
  <c r="AD21" i="4"/>
  <c r="AD22" i="4"/>
  <c r="AD23" i="4"/>
  <c r="AD24" i="4"/>
  <c r="AD25" i="4"/>
  <c r="AD26" i="4"/>
  <c r="AG26" i="4"/>
  <c r="AD27" i="4"/>
  <c r="AG27" i="4"/>
  <c r="AD28" i="4"/>
  <c r="AG28" i="4"/>
  <c r="AD29" i="4"/>
  <c r="AD30" i="4"/>
  <c r="AD31" i="4"/>
  <c r="AG31" i="4"/>
  <c r="AD32" i="4"/>
  <c r="AG32" i="4"/>
  <c r="AD33" i="4"/>
  <c r="AD34" i="4"/>
  <c r="AG34" i="4"/>
  <c r="AD35" i="4"/>
  <c r="AG35" i="4"/>
  <c r="AD36" i="4"/>
  <c r="AG36" i="4"/>
  <c r="AD37" i="4"/>
  <c r="AD38" i="4"/>
  <c r="AG38" i="4"/>
  <c r="AD39" i="4"/>
  <c r="AG39" i="4"/>
  <c r="AD40" i="4"/>
  <c r="AG40" i="4"/>
  <c r="AD41" i="4"/>
  <c r="AG41" i="4"/>
  <c r="AD42" i="4"/>
  <c r="AG42" i="4"/>
  <c r="AD43" i="4"/>
  <c r="AG43" i="4"/>
  <c r="AD44" i="4"/>
  <c r="AG44" i="4"/>
  <c r="AD45" i="4"/>
  <c r="AG45" i="4"/>
  <c r="AD46" i="4"/>
  <c r="AG46" i="4"/>
  <c r="AD47" i="4"/>
  <c r="AD48" i="4"/>
  <c r="AG48" i="4"/>
  <c r="AD49" i="4"/>
  <c r="AD50" i="4"/>
  <c r="AD51" i="4"/>
  <c r="AD52" i="4"/>
  <c r="AD53" i="4"/>
  <c r="AD54" i="4"/>
  <c r="AD55" i="4"/>
  <c r="AG55" i="4"/>
  <c r="AD56" i="4"/>
  <c r="AG56" i="4"/>
  <c r="AD57" i="4"/>
  <c r="AG57" i="4"/>
  <c r="AD58" i="4"/>
  <c r="AG58" i="4"/>
  <c r="AD59" i="4"/>
  <c r="AD60" i="4"/>
  <c r="AG60" i="4"/>
  <c r="AD61" i="4"/>
  <c r="AD62" i="4"/>
  <c r="AG62" i="4"/>
  <c r="AD63" i="4"/>
  <c r="AG63" i="4"/>
  <c r="AD64" i="4"/>
  <c r="AG64" i="4"/>
  <c r="AD65" i="4"/>
  <c r="AG65" i="4"/>
  <c r="AD66" i="4"/>
  <c r="AG66" i="4"/>
  <c r="AD67" i="4"/>
  <c r="AG67" i="4"/>
  <c r="AD68" i="4"/>
  <c r="AE68" i="4"/>
  <c r="AF68" i="4" s="1"/>
  <c r="AG68" i="4"/>
  <c r="AD69" i="4"/>
  <c r="AE69" i="4"/>
  <c r="AF69" i="4"/>
  <c r="AG69" i="4"/>
  <c r="AD70" i="4"/>
  <c r="AG70" i="4"/>
  <c r="AD71" i="4"/>
  <c r="AG71" i="4"/>
  <c r="AD72" i="4"/>
  <c r="AE72" i="4"/>
  <c r="AF72" i="4"/>
  <c r="AG72" i="4"/>
  <c r="AD73" i="4"/>
  <c r="AE73" i="4"/>
  <c r="AF73" i="4"/>
  <c r="AG73" i="4"/>
  <c r="AD74" i="4"/>
  <c r="AE74" i="4"/>
  <c r="AF74" i="4"/>
  <c r="AG74" i="4"/>
  <c r="AD75" i="4"/>
  <c r="AE75" i="4"/>
  <c r="AF75" i="4"/>
  <c r="AG75" i="4"/>
  <c r="AD76" i="4"/>
  <c r="AE76" i="4"/>
  <c r="AF76" i="4"/>
  <c r="AG76" i="4"/>
  <c r="AD77" i="4"/>
  <c r="AE77" i="4"/>
  <c r="AF77" i="4" s="1"/>
  <c r="AG77" i="4"/>
  <c r="AD78" i="4"/>
  <c r="AE78" i="4"/>
  <c r="AF78" i="4" s="1"/>
  <c r="AG78" i="4"/>
  <c r="AD79" i="4"/>
  <c r="AE79" i="4"/>
  <c r="AF79" i="4" s="1"/>
  <c r="AG79" i="4"/>
  <c r="AD80" i="4"/>
  <c r="AE80" i="4"/>
  <c r="AF80" i="4" s="1"/>
  <c r="AG80" i="4"/>
  <c r="AD81" i="4"/>
  <c r="AE81" i="4"/>
  <c r="AF81" i="4" s="1"/>
  <c r="AG81" i="4"/>
  <c r="AD82" i="4"/>
  <c r="AE82" i="4"/>
  <c r="AF82" i="4" s="1"/>
  <c r="AG82" i="4"/>
  <c r="AD83" i="4"/>
  <c r="AE83" i="4"/>
  <c r="AF83" i="4" s="1"/>
  <c r="AG83" i="4"/>
  <c r="AD84" i="4"/>
  <c r="AE84" i="4"/>
  <c r="AF84" i="4"/>
  <c r="AG84" i="4"/>
  <c r="AD85" i="4"/>
  <c r="AE85" i="4"/>
  <c r="AF85" i="4"/>
  <c r="AG85" i="4"/>
  <c r="AD86" i="4"/>
  <c r="AE86" i="4"/>
  <c r="AF86" i="4"/>
  <c r="AG86" i="4"/>
  <c r="AD87" i="4"/>
  <c r="AE87" i="4"/>
  <c r="AF87" i="4" s="1"/>
  <c r="AG87" i="4"/>
  <c r="AD88" i="4"/>
  <c r="AG88" i="4"/>
  <c r="AD89" i="4"/>
  <c r="AE89" i="4"/>
  <c r="AF89" i="4" s="1"/>
  <c r="AG89" i="4"/>
  <c r="AD90" i="4"/>
  <c r="AE90" i="4"/>
  <c r="AF90" i="4" s="1"/>
  <c r="AG90" i="4"/>
  <c r="AD91" i="4"/>
  <c r="AE91" i="4"/>
  <c r="AF91" i="4"/>
  <c r="AG91" i="4"/>
  <c r="AD92" i="4"/>
  <c r="AE92" i="4"/>
  <c r="AF92" i="4"/>
  <c r="AG92" i="4"/>
  <c r="AD93" i="4"/>
  <c r="AE93" i="4"/>
  <c r="AF93" i="4" s="1"/>
  <c r="AG93" i="4"/>
  <c r="AD94" i="4"/>
  <c r="AE94" i="4"/>
  <c r="AF94" i="4" s="1"/>
  <c r="AG94" i="4"/>
  <c r="AD95" i="4"/>
  <c r="AE95" i="4"/>
  <c r="AD96" i="4"/>
  <c r="AD97" i="4"/>
  <c r="AE97" i="4"/>
  <c r="AD98" i="4"/>
  <c r="AE98" i="4"/>
  <c r="AF98" i="4" s="1"/>
  <c r="AG98" i="4"/>
  <c r="AD99" i="4"/>
  <c r="AG99" i="4"/>
  <c r="AD100" i="4"/>
  <c r="AE100" i="4"/>
  <c r="AF100" i="4" s="1"/>
  <c r="AG100" i="4"/>
  <c r="AC37" i="4"/>
  <c r="AC30" i="4"/>
  <c r="AC3" i="4"/>
  <c r="AC33" i="4"/>
  <c r="AG33" i="4" s="1"/>
  <c r="AA2" i="4"/>
  <c r="AA3" i="4"/>
  <c r="AA4" i="4"/>
  <c r="AA5" i="4"/>
  <c r="AA6" i="4"/>
  <c r="AA7" i="4"/>
  <c r="AA8" i="4"/>
  <c r="AA9" i="4"/>
  <c r="AA10" i="4"/>
  <c r="AA11" i="4"/>
  <c r="AA12" i="4"/>
  <c r="AA13" i="4"/>
  <c r="AA14" i="4"/>
  <c r="AA15" i="4"/>
  <c r="AA16" i="4"/>
  <c r="AA17" i="4"/>
  <c r="AA18" i="4"/>
  <c r="AA19" i="4"/>
  <c r="AA20" i="4"/>
  <c r="AA21" i="4"/>
  <c r="AA22" i="4"/>
  <c r="AA23" i="4"/>
  <c r="AA24" i="4"/>
  <c r="AA25" i="4"/>
  <c r="AA26" i="4"/>
  <c r="AA27" i="4"/>
  <c r="AA28" i="4"/>
  <c r="AA29" i="4"/>
  <c r="AA30" i="4"/>
  <c r="AA31" i="4"/>
  <c r="AA32" i="4"/>
  <c r="AA33" i="4"/>
  <c r="AA34" i="4"/>
  <c r="AA35" i="4"/>
  <c r="AA36" i="4"/>
  <c r="AA37" i="4"/>
  <c r="AA38" i="4"/>
  <c r="AA39" i="4"/>
  <c r="AA40" i="4"/>
  <c r="AA41" i="4"/>
  <c r="AA42" i="4"/>
  <c r="AA43" i="4"/>
  <c r="AA44" i="4"/>
  <c r="AA45" i="4"/>
  <c r="AA46" i="4"/>
  <c r="AA47" i="4"/>
  <c r="AA48" i="4"/>
  <c r="AA49" i="4"/>
  <c r="AA50" i="4"/>
  <c r="AA51" i="4"/>
  <c r="AA52" i="4"/>
  <c r="AA53" i="4"/>
  <c r="AA54" i="4"/>
  <c r="AA55" i="4"/>
  <c r="AA56" i="4"/>
  <c r="AA57" i="4"/>
  <c r="AA58" i="4"/>
  <c r="AA59" i="4"/>
  <c r="AA60" i="4"/>
  <c r="AA61" i="4"/>
  <c r="AA62" i="4"/>
  <c r="AA63" i="4"/>
  <c r="AA64" i="4"/>
  <c r="AA65" i="4"/>
  <c r="AA66" i="4"/>
  <c r="AA67" i="4"/>
  <c r="AA68" i="4"/>
  <c r="AA69" i="4"/>
  <c r="AA70" i="4"/>
  <c r="AA71" i="4"/>
  <c r="AA72" i="4"/>
  <c r="AA73" i="4"/>
  <c r="AA74" i="4"/>
  <c r="AA75" i="4"/>
  <c r="AA76" i="4"/>
  <c r="AA77" i="4"/>
  <c r="AA78" i="4"/>
  <c r="AA79" i="4"/>
  <c r="AA80" i="4"/>
  <c r="AA81" i="4"/>
  <c r="AA82" i="4"/>
  <c r="AA83" i="4"/>
  <c r="AA84" i="4"/>
  <c r="AA85" i="4"/>
  <c r="AA86" i="4"/>
  <c r="AA87" i="4"/>
  <c r="AA88" i="4"/>
  <c r="AA89" i="4"/>
  <c r="AA90" i="4"/>
  <c r="AA91" i="4"/>
  <c r="AA92" i="4"/>
  <c r="AA93" i="4"/>
  <c r="AA94" i="4"/>
  <c r="AA95" i="4"/>
  <c r="AA96" i="4"/>
  <c r="AA97" i="4"/>
  <c r="AA98" i="4"/>
  <c r="AA99" i="4"/>
  <c r="AA100" i="4"/>
  <c r="Z2" i="4"/>
  <c r="Z4" i="4"/>
  <c r="Z16" i="4"/>
  <c r="Z20" i="4"/>
  <c r="Z32" i="4"/>
  <c r="Z39" i="4"/>
  <c r="Z56" i="4"/>
  <c r="Z65" i="4"/>
  <c r="Z67" i="4"/>
  <c r="Z70" i="4"/>
  <c r="Z75" i="4"/>
  <c r="Z78" i="4"/>
  <c r="Z80" i="4"/>
  <c r="Z82" i="4"/>
  <c r="Z93" i="4"/>
  <c r="X2" i="4"/>
  <c r="X3" i="4"/>
  <c r="X4" i="4"/>
  <c r="X5" i="4"/>
  <c r="X6" i="4"/>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53" i="4"/>
  <c r="X54" i="4"/>
  <c r="X55" i="4"/>
  <c r="X56" i="4"/>
  <c r="X57" i="4"/>
  <c r="X58" i="4"/>
  <c r="X59" i="4"/>
  <c r="X60" i="4"/>
  <c r="X61" i="4"/>
  <c r="X62" i="4"/>
  <c r="X63" i="4"/>
  <c r="X64" i="4"/>
  <c r="X65" i="4"/>
  <c r="X66" i="4"/>
  <c r="X67" i="4"/>
  <c r="X68" i="4"/>
  <c r="X69" i="4"/>
  <c r="X70" i="4"/>
  <c r="X71" i="4"/>
  <c r="X72" i="4"/>
  <c r="X73" i="4"/>
  <c r="X74" i="4"/>
  <c r="X75" i="4"/>
  <c r="X76" i="4"/>
  <c r="X77" i="4"/>
  <c r="X78" i="4"/>
  <c r="X79" i="4"/>
  <c r="X80" i="4"/>
  <c r="X81" i="4"/>
  <c r="X82" i="4"/>
  <c r="X83" i="4"/>
  <c r="X84" i="4"/>
  <c r="X85" i="4"/>
  <c r="X86" i="4"/>
  <c r="X87" i="4"/>
  <c r="X88" i="4"/>
  <c r="X89" i="4"/>
  <c r="X90" i="4"/>
  <c r="X91" i="4"/>
  <c r="X92" i="4"/>
  <c r="X93" i="4"/>
  <c r="X94" i="4"/>
  <c r="X95" i="4"/>
  <c r="X96" i="4"/>
  <c r="X97" i="4"/>
  <c r="X98" i="4"/>
  <c r="X99" i="4"/>
  <c r="X100" i="4"/>
  <c r="S10" i="4" a="1"/>
  <c r="S2" i="4" a="1"/>
  <c r="S3" i="4" a="1"/>
  <c r="S4" i="4" a="1"/>
  <c r="S5" i="4" a="1"/>
  <c r="S6" i="4" a="1"/>
  <c r="S7" i="4" a="1"/>
  <c r="S8" i="4" a="1"/>
  <c r="S9" i="4" a="1"/>
  <c r="S11" i="4" a="1"/>
  <c r="S12" i="4" a="1"/>
  <c r="S13" i="4" a="1"/>
  <c r="S14" i="4" a="1"/>
  <c r="S15" i="4" a="1"/>
  <c r="S16" i="4" a="1"/>
  <c r="S17" i="4" a="1"/>
  <c r="S18" i="4" a="1"/>
  <c r="S19" i="4" a="1"/>
  <c r="S20" i="4" a="1"/>
  <c r="S21" i="4" a="1"/>
  <c r="S22" i="4" a="1"/>
  <c r="S23" i="4" a="1"/>
  <c r="S24" i="4" a="1"/>
  <c r="S25" i="4" a="1"/>
  <c r="S26" i="4" a="1"/>
  <c r="S27" i="4" a="1"/>
  <c r="S28" i="4" a="1"/>
  <c r="S29" i="4" a="1"/>
  <c r="S30" i="4" a="1"/>
  <c r="S31" i="4" a="1"/>
  <c r="S32" i="4" a="1"/>
  <c r="S33" i="4" a="1"/>
  <c r="S34" i="4" a="1"/>
  <c r="S35" i="4" a="1"/>
  <c r="S36" i="4" a="1"/>
  <c r="S37" i="4" a="1"/>
  <c r="S38" i="4" a="1"/>
  <c r="S39" i="4" a="1"/>
  <c r="S40" i="4" a="1"/>
  <c r="S41" i="4" a="1"/>
  <c r="S42" i="4" a="1"/>
  <c r="S43" i="4" a="1"/>
  <c r="S44" i="4" a="1"/>
  <c r="S45" i="4" a="1"/>
  <c r="S46" i="4" a="1"/>
  <c r="S47" i="4" a="1"/>
  <c r="S48" i="4" a="1"/>
  <c r="S49" i="4" a="1"/>
  <c r="S50" i="4" a="1"/>
  <c r="S51" i="4" a="1"/>
  <c r="S52" i="4" a="1"/>
  <c r="S53" i="4" a="1"/>
  <c r="S54" i="4" a="1"/>
  <c r="S55" i="4" a="1"/>
  <c r="S56" i="4" a="1"/>
  <c r="S57" i="4" a="1"/>
  <c r="S58" i="4" a="1"/>
  <c r="S59" i="4" a="1"/>
  <c r="S60" i="4" a="1"/>
  <c r="S61" i="4" a="1"/>
  <c r="S62" i="4" a="1"/>
  <c r="S63" i="4" a="1"/>
  <c r="S64" i="4" a="1"/>
  <c r="S65" i="4" a="1"/>
  <c r="S66" i="4" a="1"/>
  <c r="S67" i="4" a="1"/>
  <c r="S68" i="4" a="1"/>
  <c r="S69" i="4" a="1"/>
  <c r="S70" i="4" a="1"/>
  <c r="S71" i="4" a="1"/>
  <c r="S72" i="4" a="1"/>
  <c r="S73" i="4" a="1"/>
  <c r="S74" i="4" a="1"/>
  <c r="S75" i="4" a="1"/>
  <c r="S76" i="4" a="1"/>
  <c r="S77" i="4" a="1"/>
  <c r="S78" i="4" a="1"/>
  <c r="S79" i="4" a="1"/>
  <c r="S80" i="4" a="1"/>
  <c r="S81" i="4" a="1"/>
  <c r="S82" i="4" a="1"/>
  <c r="S83" i="4" a="1"/>
  <c r="S84" i="4" a="1"/>
  <c r="S85" i="4" a="1"/>
  <c r="S86" i="4" a="1"/>
  <c r="S87" i="4" a="1"/>
  <c r="S88" i="4" a="1"/>
  <c r="S89" i="4" a="1"/>
  <c r="S90" i="4" a="1"/>
  <c r="S91" i="4" a="1"/>
  <c r="S92" i="4" a="1"/>
  <c r="S93" i="4" a="1"/>
  <c r="S94" i="4" a="1"/>
  <c r="S95" i="4" a="1"/>
  <c r="S96" i="4" a="1"/>
  <c r="S97" i="4" a="1"/>
  <c r="S98" i="4" a="1"/>
  <c r="S99" i="4" a="1"/>
  <c r="S100" i="4" a="1"/>
  <c r="AC35" i="4"/>
  <c r="AC2" i="4"/>
  <c r="AC4" i="4"/>
  <c r="AC5" i="4"/>
  <c r="AC6" i="4"/>
  <c r="AG6" i="4" s="1"/>
  <c r="AC7" i="4"/>
  <c r="AC8" i="4"/>
  <c r="AC9" i="4"/>
  <c r="AC10" i="4"/>
  <c r="AG10" i="4" s="1"/>
  <c r="AC11" i="4"/>
  <c r="AC12" i="4"/>
  <c r="AC13" i="4"/>
  <c r="AG13" i="4" s="1"/>
  <c r="AC14" i="4"/>
  <c r="AC15" i="4"/>
  <c r="AC16" i="4"/>
  <c r="AC17" i="4"/>
  <c r="AC18" i="4"/>
  <c r="AG18" i="4" s="1"/>
  <c r="AC19" i="4"/>
  <c r="AC20" i="4"/>
  <c r="AC21" i="4"/>
  <c r="AC22" i="4"/>
  <c r="AC23" i="4"/>
  <c r="AC24" i="4"/>
  <c r="AC25" i="4"/>
  <c r="AC26" i="4"/>
  <c r="AC27" i="4"/>
  <c r="AC28" i="4"/>
  <c r="AC29" i="4"/>
  <c r="AC31" i="4"/>
  <c r="AC32" i="4"/>
  <c r="AC34" i="4"/>
  <c r="AC36" i="4"/>
  <c r="AE28" i="4" s="1"/>
  <c r="AF28" i="4" s="1"/>
  <c r="AC38" i="4"/>
  <c r="AC39" i="4"/>
  <c r="AC40" i="4"/>
  <c r="AC41" i="4"/>
  <c r="AE26" i="4" s="1"/>
  <c r="AF26" i="4" s="1"/>
  <c r="AC42" i="4"/>
  <c r="AC43" i="4"/>
  <c r="AC44" i="4"/>
  <c r="AC45" i="4"/>
  <c r="AC46" i="4"/>
  <c r="AE38" i="4" s="1"/>
  <c r="AF38" i="4" s="1"/>
  <c r="AC47" i="4"/>
  <c r="AC48" i="4"/>
  <c r="AC49" i="4"/>
  <c r="AG49" i="4" s="1"/>
  <c r="AC50" i="4"/>
  <c r="AC51" i="4"/>
  <c r="AC52" i="4"/>
  <c r="AG52" i="4" s="1"/>
  <c r="AC53" i="4"/>
  <c r="AC54" i="4"/>
  <c r="AC55" i="4"/>
  <c r="AE41" i="4" s="1"/>
  <c r="AF41" i="4" s="1"/>
  <c r="AC56" i="4"/>
  <c r="AC57" i="4"/>
  <c r="AC58" i="4"/>
  <c r="AC59" i="4"/>
  <c r="AC60" i="4"/>
  <c r="AE56" i="4" s="1"/>
  <c r="AF56" i="4" s="1"/>
  <c r="AC61" i="4"/>
  <c r="AC62" i="4"/>
  <c r="AC63" i="4"/>
  <c r="AE35" i="4" s="1"/>
  <c r="AF35" i="4" s="1"/>
  <c r="AC64" i="4"/>
  <c r="AC65" i="4"/>
  <c r="AE36" i="4" s="1"/>
  <c r="AF36" i="4" s="1"/>
  <c r="AC66" i="4"/>
  <c r="AC67" i="4"/>
  <c r="AE58" i="4" s="1"/>
  <c r="AF58" i="4" s="1"/>
  <c r="AC68" i="4"/>
  <c r="AE57" i="4" s="1"/>
  <c r="AF57" i="4" s="1"/>
  <c r="AC69" i="4"/>
  <c r="AC70" i="4"/>
  <c r="AC71" i="4"/>
  <c r="AC72" i="4"/>
  <c r="AC73" i="4"/>
  <c r="AC74" i="4"/>
  <c r="AE42" i="4" s="1"/>
  <c r="AF42" i="4" s="1"/>
  <c r="AC75" i="4"/>
  <c r="AE29" i="4" s="1"/>
  <c r="AC76" i="4"/>
  <c r="AE63" i="4" s="1"/>
  <c r="AF63" i="4" s="1"/>
  <c r="AC77" i="4"/>
  <c r="AE48" i="4" s="1"/>
  <c r="AF48" i="4" s="1"/>
  <c r="AC78" i="4"/>
  <c r="AC79" i="4"/>
  <c r="AC80" i="4"/>
  <c r="AC81" i="4"/>
  <c r="AE65" i="4" s="1"/>
  <c r="AF65" i="4" s="1"/>
  <c r="AC82" i="4"/>
  <c r="AC83" i="4"/>
  <c r="AE66" i="4" s="1"/>
  <c r="AF66" i="4" s="1"/>
  <c r="AC84" i="4"/>
  <c r="AC85" i="4"/>
  <c r="AC86" i="4"/>
  <c r="AE55" i="4" s="1"/>
  <c r="AF55" i="4" s="1"/>
  <c r="AC87" i="4"/>
  <c r="AC88" i="4"/>
  <c r="AC89" i="4"/>
  <c r="AE27" i="4" s="1"/>
  <c r="AF27" i="4" s="1"/>
  <c r="AC90" i="4"/>
  <c r="AC91" i="4"/>
  <c r="AC92" i="4"/>
  <c r="AE71" i="4" s="1"/>
  <c r="AF71" i="4" s="1"/>
  <c r="AC93" i="4"/>
  <c r="AC94" i="4"/>
  <c r="AC95" i="4"/>
  <c r="AC96" i="4"/>
  <c r="AC97" i="4"/>
  <c r="AE67" i="4" s="1"/>
  <c r="AF67" i="4" s="1"/>
  <c r="AC98" i="4"/>
  <c r="AC99" i="4"/>
  <c r="AC100" i="4"/>
  <c r="L104" i="4"/>
  <c r="N104" i="4"/>
  <c r="M106" i="4" s="1"/>
  <c r="V10" i="4"/>
  <c r="W10" i="4" s="1" a="1"/>
  <c r="V2" i="4"/>
  <c r="W2" i="4" s="1" a="1"/>
  <c r="V3" i="4"/>
  <c r="W3" i="4" s="1" a="1"/>
  <c r="V4" i="4"/>
  <c r="W4" i="4" s="1" a="1"/>
  <c r="V5" i="4"/>
  <c r="W5" i="4" s="1" a="1"/>
  <c r="V6" i="4"/>
  <c r="W6" i="4" s="1" a="1"/>
  <c r="V7" i="4"/>
  <c r="W7" i="4" s="1" a="1"/>
  <c r="V8" i="4"/>
  <c r="W8" i="4" s="1" a="1"/>
  <c r="V9" i="4"/>
  <c r="W9" i="4" s="1" a="1"/>
  <c r="V11" i="4"/>
  <c r="W11" i="4" s="1" a="1"/>
  <c r="V12" i="4"/>
  <c r="W12" i="4" s="1" a="1"/>
  <c r="V13" i="4"/>
  <c r="W13" i="4" s="1" a="1"/>
  <c r="V14" i="4"/>
  <c r="W14" i="4" s="1" a="1"/>
  <c r="V15" i="4"/>
  <c r="W15" i="4" s="1" a="1"/>
  <c r="V16" i="4"/>
  <c r="W16" i="4" s="1" a="1"/>
  <c r="V17" i="4"/>
  <c r="W17" i="4" s="1" a="1"/>
  <c r="V18" i="4"/>
  <c r="W18" i="4" s="1" a="1"/>
  <c r="V19" i="4"/>
  <c r="W19" i="4" s="1" a="1"/>
  <c r="V20" i="4"/>
  <c r="W20" i="4" s="1" a="1"/>
  <c r="V21" i="4"/>
  <c r="W21" i="4" s="1" a="1"/>
  <c r="V22" i="4"/>
  <c r="W22" i="4" s="1" a="1"/>
  <c r="V23" i="4"/>
  <c r="W23" i="4" s="1" a="1"/>
  <c r="V24" i="4"/>
  <c r="W24" i="4" s="1" a="1"/>
  <c r="V25" i="4"/>
  <c r="W25" i="4" s="1" a="1"/>
  <c r="V26" i="4"/>
  <c r="W26" i="4" s="1" a="1"/>
  <c r="V27" i="4"/>
  <c r="W27" i="4" s="1" a="1"/>
  <c r="V28" i="4"/>
  <c r="W28" i="4" s="1" a="1"/>
  <c r="V29" i="4"/>
  <c r="W29" i="4" s="1" a="1"/>
  <c r="V30" i="4"/>
  <c r="W30" i="4" s="1" a="1"/>
  <c r="V31" i="4"/>
  <c r="W31" i="4" s="1" a="1"/>
  <c r="V32" i="4"/>
  <c r="W32" i="4" s="1" a="1"/>
  <c r="V33" i="4"/>
  <c r="W33" i="4" s="1" a="1"/>
  <c r="V34" i="4"/>
  <c r="W34" i="4" s="1" a="1"/>
  <c r="V35" i="4"/>
  <c r="W35" i="4" s="1" a="1"/>
  <c r="V36" i="4"/>
  <c r="W36" i="4" s="1" a="1"/>
  <c r="V37" i="4"/>
  <c r="W37" i="4" s="1" a="1"/>
  <c r="V38" i="4"/>
  <c r="W38" i="4" s="1" a="1"/>
  <c r="V39" i="4"/>
  <c r="W39" i="4" s="1" a="1"/>
  <c r="V40" i="4"/>
  <c r="W40" i="4" s="1" a="1"/>
  <c r="V41" i="4"/>
  <c r="W41" i="4" s="1" a="1"/>
  <c r="V42" i="4"/>
  <c r="W42" i="4" s="1" a="1"/>
  <c r="V43" i="4"/>
  <c r="W43" i="4" s="1" a="1"/>
  <c r="V44" i="4"/>
  <c r="W44" i="4" s="1" a="1"/>
  <c r="V45" i="4"/>
  <c r="W45" i="4" s="1" a="1"/>
  <c r="V46" i="4"/>
  <c r="W46" i="4" s="1" a="1"/>
  <c r="V47" i="4"/>
  <c r="W47" i="4" s="1" a="1"/>
  <c r="V48" i="4"/>
  <c r="W48" i="4" s="1" a="1"/>
  <c r="V49" i="4"/>
  <c r="W49" i="4" s="1" a="1"/>
  <c r="V50" i="4"/>
  <c r="W50" i="4" s="1" a="1"/>
  <c r="V51" i="4"/>
  <c r="W51" i="4" s="1" a="1"/>
  <c r="V52" i="4"/>
  <c r="W52" i="4" s="1" a="1"/>
  <c r="V53" i="4"/>
  <c r="W53" i="4" s="1" a="1"/>
  <c r="V54" i="4"/>
  <c r="W54" i="4" s="1" a="1"/>
  <c r="V55" i="4"/>
  <c r="W55" i="4" s="1" a="1"/>
  <c r="V56" i="4"/>
  <c r="W56" i="4" s="1" a="1"/>
  <c r="V57" i="4"/>
  <c r="W57" i="4" s="1" a="1"/>
  <c r="V58" i="4"/>
  <c r="W58" i="4" s="1" a="1"/>
  <c r="V59" i="4"/>
  <c r="W59" i="4" s="1" a="1"/>
  <c r="V60" i="4"/>
  <c r="W60" i="4" s="1" a="1"/>
  <c r="V61" i="4"/>
  <c r="W61" i="4" s="1" a="1"/>
  <c r="V62" i="4"/>
  <c r="W62" i="4" s="1" a="1"/>
  <c r="V63" i="4"/>
  <c r="W63" i="4" s="1" a="1"/>
  <c r="V64" i="4"/>
  <c r="W64" i="4" s="1" a="1"/>
  <c r="V65" i="4"/>
  <c r="W65" i="4" s="1" a="1"/>
  <c r="V66" i="4"/>
  <c r="W66" i="4" s="1" a="1"/>
  <c r="V67" i="4"/>
  <c r="W67" i="4" s="1" a="1"/>
  <c r="V68" i="4"/>
  <c r="W68" i="4" s="1" a="1"/>
  <c r="V69" i="4"/>
  <c r="W69" i="4" s="1" a="1"/>
  <c r="V70" i="4"/>
  <c r="W70" i="4" s="1" a="1"/>
  <c r="V71" i="4"/>
  <c r="W71" i="4" s="1" a="1"/>
  <c r="V72" i="4"/>
  <c r="W72" i="4" s="1" a="1"/>
  <c r="V73" i="4"/>
  <c r="W73" i="4" s="1" a="1"/>
  <c r="V74" i="4"/>
  <c r="W74" i="4" s="1" a="1"/>
  <c r="V75" i="4"/>
  <c r="W75" i="4" s="1" a="1"/>
  <c r="V76" i="4"/>
  <c r="W76" i="4" s="1" a="1"/>
  <c r="V77" i="4"/>
  <c r="W77" i="4" s="1" a="1"/>
  <c r="V78" i="4"/>
  <c r="W78" i="4" s="1" a="1"/>
  <c r="V79" i="4"/>
  <c r="W79" i="4" s="1" a="1"/>
  <c r="V80" i="4"/>
  <c r="W80" i="4" s="1" a="1"/>
  <c r="V81" i="4"/>
  <c r="W81" i="4" s="1" a="1"/>
  <c r="V82" i="4"/>
  <c r="W82" i="4" s="1" a="1"/>
  <c r="V83" i="4"/>
  <c r="W83" i="4" s="1" a="1"/>
  <c r="V84" i="4"/>
  <c r="W84" i="4" s="1" a="1"/>
  <c r="V85" i="4"/>
  <c r="W85" i="4" s="1" a="1"/>
  <c r="V86" i="4"/>
  <c r="W86" i="4" s="1" a="1"/>
  <c r="V87" i="4"/>
  <c r="W87" i="4" s="1" a="1"/>
  <c r="V88" i="4"/>
  <c r="W88" i="4" s="1" a="1"/>
  <c r="V89" i="4"/>
  <c r="W89" i="4" s="1" a="1"/>
  <c r="V90" i="4"/>
  <c r="W90" i="4" s="1" a="1"/>
  <c r="V91" i="4"/>
  <c r="W91" i="4" s="1" a="1"/>
  <c r="V92" i="4"/>
  <c r="W92" i="4" s="1" a="1"/>
  <c r="V93" i="4"/>
  <c r="W93" i="4" s="1" a="1"/>
  <c r="V94" i="4"/>
  <c r="W94" i="4" s="1" a="1"/>
  <c r="V95" i="4"/>
  <c r="W95" i="4" s="1" a="1"/>
  <c r="V96" i="4"/>
  <c r="W96" i="4" s="1" a="1"/>
  <c r="V97" i="4"/>
  <c r="W97" i="4" s="1" a="1"/>
  <c r="V98" i="4"/>
  <c r="W98" i="4" s="1" a="1"/>
  <c r="V99" i="4"/>
  <c r="W99" i="4" s="1" a="1"/>
  <c r="V100" i="4"/>
  <c r="W100" i="4" s="1" a="1"/>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M3" i="4"/>
  <c r="M2" i="4"/>
  <c r="M4" i="4"/>
  <c r="P4" i="4" s="1"/>
  <c r="M5" i="4"/>
  <c r="P5" i="4" s="1"/>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P51" i="4" s="1"/>
  <c r="M52" i="4"/>
  <c r="P52" i="4" s="1"/>
  <c r="M53" i="4"/>
  <c r="P53" i="4" s="1"/>
  <c r="M54" i="4"/>
  <c r="P54" i="4" s="1"/>
  <c r="M55" i="4"/>
  <c r="P55" i="4" s="1"/>
  <c r="M56" i="4"/>
  <c r="P56" i="4" s="1"/>
  <c r="M57" i="4"/>
  <c r="P57" i="4" s="1"/>
  <c r="M58" i="4"/>
  <c r="P58" i="4" s="1"/>
  <c r="M59" i="4"/>
  <c r="P59" i="4" s="1"/>
  <c r="M60" i="4"/>
  <c r="P60" i="4" s="1"/>
  <c r="M61" i="4"/>
  <c r="P61" i="4" s="1"/>
  <c r="M62" i="4"/>
  <c r="P62" i="4" s="1"/>
  <c r="M63" i="4"/>
  <c r="P63" i="4" s="1"/>
  <c r="M64" i="4"/>
  <c r="P64" i="4" s="1"/>
  <c r="M65" i="4"/>
  <c r="P65" i="4" s="1"/>
  <c r="M66" i="4"/>
  <c r="P66" i="4" s="1"/>
  <c r="M67" i="4"/>
  <c r="P67" i="4" s="1"/>
  <c r="M68" i="4"/>
  <c r="P68" i="4" s="1"/>
  <c r="M69" i="4"/>
  <c r="P69" i="4" s="1"/>
  <c r="M70" i="4"/>
  <c r="P70" i="4" s="1"/>
  <c r="M71" i="4"/>
  <c r="P71" i="4" s="1"/>
  <c r="M72" i="4"/>
  <c r="P72" i="4" s="1"/>
  <c r="M73" i="4"/>
  <c r="P73" i="4" s="1"/>
  <c r="M74" i="4"/>
  <c r="P74" i="4" s="1"/>
  <c r="M75" i="4"/>
  <c r="P75" i="4" s="1"/>
  <c r="M76" i="4"/>
  <c r="P76" i="4" s="1"/>
  <c r="M77" i="4"/>
  <c r="P77" i="4" s="1"/>
  <c r="M78" i="4"/>
  <c r="P78" i="4" s="1"/>
  <c r="M79" i="4"/>
  <c r="P79" i="4" s="1"/>
  <c r="M80" i="4"/>
  <c r="P80" i="4" s="1"/>
  <c r="M81" i="4"/>
  <c r="P81" i="4" s="1"/>
  <c r="M82" i="4"/>
  <c r="P82" i="4" s="1"/>
  <c r="M83" i="4"/>
  <c r="P83" i="4" s="1"/>
  <c r="M84" i="4"/>
  <c r="P84" i="4" s="1"/>
  <c r="M85" i="4"/>
  <c r="P85" i="4" s="1"/>
  <c r="M86" i="4"/>
  <c r="P86" i="4" s="1"/>
  <c r="M87" i="4"/>
  <c r="P87" i="4" s="1"/>
  <c r="M88" i="4"/>
  <c r="P88" i="4" s="1"/>
  <c r="M89" i="4"/>
  <c r="P89" i="4" s="1"/>
  <c r="M90" i="4"/>
  <c r="P90" i="4" s="1"/>
  <c r="M91" i="4"/>
  <c r="P91" i="4" s="1"/>
  <c r="M92" i="4"/>
  <c r="P92" i="4" s="1"/>
  <c r="M93" i="4"/>
  <c r="P93" i="4" s="1"/>
  <c r="M94" i="4"/>
  <c r="P94" i="4" s="1"/>
  <c r="M95" i="4"/>
  <c r="P95" i="4" s="1"/>
  <c r="M96" i="4"/>
  <c r="P96" i="4" s="1"/>
  <c r="M97" i="4"/>
  <c r="P97" i="4" s="1"/>
  <c r="M98" i="4"/>
  <c r="P98" i="4" s="1"/>
  <c r="M99" i="4"/>
  <c r="P99" i="4" s="1"/>
  <c r="M100" i="4"/>
  <c r="P100" i="4" s="1"/>
  <c r="AG95" i="4" l="1"/>
  <c r="AF95" i="4"/>
  <c r="AF97" i="4"/>
  <c r="AG97" i="4"/>
  <c r="AG37" i="4"/>
  <c r="AE99" i="4"/>
  <c r="AF99" i="4" s="1"/>
  <c r="AE96" i="4"/>
  <c r="AE70" i="4"/>
  <c r="AF70" i="4" s="1"/>
  <c r="AE31" i="4"/>
  <c r="AF31" i="4" s="1"/>
  <c r="AE37" i="4"/>
  <c r="AF37" i="4" s="1"/>
  <c r="AE39" i="4"/>
  <c r="AF39" i="4" s="1"/>
  <c r="AE40" i="4"/>
  <c r="AF40" i="4" s="1"/>
  <c r="AE43" i="4"/>
  <c r="AF43" i="4" s="1"/>
  <c r="AE44" i="4"/>
  <c r="AF44" i="4" s="1"/>
  <c r="AE30" i="4"/>
  <c r="AF30" i="4" s="1"/>
  <c r="AE88" i="4"/>
  <c r="AF88" i="4" s="1"/>
  <c r="AE49" i="4"/>
  <c r="AF49" i="4" s="1"/>
  <c r="AG30" i="4"/>
  <c r="AE3" i="4"/>
  <c r="AF3" i="4" s="1"/>
  <c r="AG3" i="4"/>
  <c r="AE59" i="4"/>
  <c r="AE33" i="4"/>
  <c r="AF33" i="4" s="1"/>
  <c r="AE34" i="4"/>
  <c r="AF34" i="4" s="1"/>
  <c r="AE2" i="4"/>
  <c r="AF2" i="4" s="1"/>
  <c r="AG2" i="4"/>
  <c r="AE4" i="4"/>
  <c r="AF4" i="4" s="1"/>
  <c r="AG4" i="4"/>
  <c r="AE5" i="4"/>
  <c r="AF5" i="4" s="1"/>
  <c r="AE6" i="4"/>
  <c r="AF6" i="4" s="1"/>
  <c r="AE13" i="4"/>
  <c r="AF13" i="4" s="1"/>
  <c r="AG5" i="4"/>
  <c r="AG7" i="4"/>
  <c r="AE7" i="4"/>
  <c r="AF7" i="4" s="1"/>
  <c r="AE11" i="4"/>
  <c r="AG8" i="4"/>
  <c r="AE8" i="4"/>
  <c r="AF8" i="4" s="1"/>
  <c r="AE10" i="4"/>
  <c r="AF10" i="4" s="1"/>
  <c r="AE9" i="4"/>
  <c r="AE12" i="4"/>
  <c r="AG14" i="4"/>
  <c r="AE14" i="4"/>
  <c r="AF14" i="4" s="1"/>
  <c r="AG15" i="4"/>
  <c r="AE15" i="4"/>
  <c r="AF15" i="4" s="1"/>
  <c r="AE18" i="4"/>
  <c r="AF18" i="4" s="1"/>
  <c r="AG16" i="4"/>
  <c r="AE16" i="4"/>
  <c r="AF16" i="4" s="1"/>
  <c r="AG17" i="4"/>
  <c r="AE17" i="4"/>
  <c r="AF17" i="4" s="1"/>
  <c r="AE19" i="4"/>
  <c r="AF19" i="4" s="1"/>
  <c r="AG19" i="4"/>
  <c r="AE20" i="4"/>
  <c r="AE21" i="4"/>
  <c r="AF21" i="4" s="1"/>
  <c r="AG21" i="4"/>
  <c r="AE22" i="4"/>
  <c r="AG23" i="4"/>
  <c r="AE23" i="4"/>
  <c r="AF23" i="4" s="1"/>
  <c r="AG24" i="4"/>
  <c r="AE24" i="4"/>
  <c r="AF24" i="4" s="1"/>
  <c r="AE25" i="4"/>
  <c r="AF25" i="4" s="1"/>
  <c r="AG25" i="4"/>
  <c r="AE50" i="4"/>
  <c r="AF50" i="4" s="1"/>
  <c r="AG50" i="4"/>
  <c r="AE52" i="4"/>
  <c r="AF52" i="4" s="1"/>
  <c r="AE51" i="4"/>
  <c r="AF51" i="4" s="1"/>
  <c r="AG51" i="4"/>
  <c r="AE45" i="4"/>
  <c r="AF45" i="4" s="1"/>
  <c r="AE32" i="4"/>
  <c r="AF32" i="4" s="1"/>
  <c r="AE53" i="4"/>
  <c r="AG54" i="4"/>
  <c r="AE54" i="4"/>
  <c r="AF54" i="4" s="1"/>
  <c r="AE46" i="4"/>
  <c r="AF46" i="4" s="1"/>
  <c r="AE47" i="4"/>
  <c r="AG29" i="4"/>
  <c r="AF29" i="4"/>
  <c r="AE61" i="4"/>
  <c r="AE62" i="4"/>
  <c r="AF62" i="4" s="1"/>
  <c r="AE60" i="4"/>
  <c r="AF60" i="4" s="1"/>
  <c r="AE64" i="4"/>
  <c r="AF64" i="4" s="1"/>
  <c r="AB2" i="4"/>
  <c r="Y2" i="4"/>
  <c r="AB3" i="4"/>
  <c r="Y3" i="4"/>
  <c r="Z3" i="4"/>
  <c r="AB4" i="4"/>
  <c r="Y4" i="4"/>
  <c r="AB5" i="4"/>
  <c r="Y5" i="4"/>
  <c r="Z5" i="4"/>
  <c r="AB6" i="4"/>
  <c r="Z6" i="4"/>
  <c r="Y6" i="4"/>
  <c r="AB7" i="4"/>
  <c r="Y7" i="4"/>
  <c r="Z7" i="4"/>
  <c r="AB8" i="4"/>
  <c r="Z8" i="4"/>
  <c r="Y8" i="4"/>
  <c r="AB9" i="4"/>
  <c r="Z9" i="4"/>
  <c r="Y9" i="4"/>
  <c r="AB10" i="4"/>
  <c r="Z10" i="4"/>
  <c r="Y10" i="4"/>
  <c r="AB11" i="4"/>
  <c r="Z11" i="4"/>
  <c r="Y11" i="4"/>
  <c r="AB12" i="4"/>
  <c r="Z12" i="4"/>
  <c r="Y12" i="4"/>
  <c r="AB13" i="4"/>
  <c r="Y13" i="4"/>
  <c r="Z13" i="4"/>
  <c r="AB14" i="4"/>
  <c r="Y14" i="4"/>
  <c r="Z14" i="4"/>
  <c r="AB15" i="4"/>
  <c r="Z15" i="4"/>
  <c r="Y15" i="4"/>
  <c r="AB16" i="4"/>
  <c r="Y16" i="4"/>
  <c r="AB17" i="4"/>
  <c r="Z17" i="4"/>
  <c r="Y17" i="4"/>
  <c r="AB18" i="4"/>
  <c r="Z18" i="4"/>
  <c r="Y18" i="4"/>
  <c r="Z19" i="4"/>
  <c r="AB19" i="4"/>
  <c r="Y19" i="4"/>
  <c r="AB20" i="4"/>
  <c r="Y20" i="4"/>
  <c r="Z21" i="4"/>
  <c r="AB21" i="4"/>
  <c r="Y21" i="4"/>
  <c r="AB22" i="4"/>
  <c r="Z22" i="4"/>
  <c r="Y22" i="4"/>
  <c r="Z23" i="4"/>
  <c r="AB23" i="4"/>
  <c r="Y23" i="4"/>
  <c r="Z24" i="4"/>
  <c r="AB24" i="4"/>
  <c r="Y24" i="4"/>
  <c r="Z25" i="4"/>
  <c r="AB25" i="4"/>
  <c r="Y25" i="4"/>
  <c r="AB26" i="4"/>
  <c r="Y26" i="4"/>
  <c r="Z26" i="4"/>
  <c r="AB27" i="4"/>
  <c r="Y27" i="4"/>
  <c r="Z27" i="4"/>
  <c r="AB28" i="4"/>
  <c r="Y28" i="4"/>
  <c r="Z28" i="4"/>
  <c r="Z29" i="4"/>
  <c r="AB29" i="4"/>
  <c r="Y29" i="4"/>
  <c r="Z30" i="4"/>
  <c r="Y30" i="4"/>
  <c r="AB30" i="4"/>
  <c r="Z31" i="4"/>
  <c r="Y31" i="4"/>
  <c r="AB31" i="4"/>
  <c r="Y32" i="4"/>
  <c r="AB32" i="4"/>
  <c r="Y33" i="4"/>
  <c r="Z33" i="4"/>
  <c r="AB33" i="4"/>
  <c r="Y34" i="4"/>
  <c r="Z34" i="4"/>
  <c r="AB34" i="4"/>
  <c r="Y35" i="4"/>
  <c r="Z35" i="4"/>
  <c r="AB35" i="4"/>
  <c r="Y36" i="4"/>
  <c r="AB36" i="4"/>
  <c r="Z36" i="4"/>
  <c r="Y37" i="4"/>
  <c r="AB37" i="4"/>
  <c r="Z37" i="4"/>
  <c r="Y38" i="4"/>
  <c r="AB38" i="4"/>
  <c r="Z38" i="4"/>
  <c r="Y39" i="4"/>
  <c r="AB39" i="4"/>
  <c r="AB40" i="4"/>
  <c r="Y40" i="4"/>
  <c r="Z40" i="4"/>
  <c r="Y41" i="4"/>
  <c r="AB41" i="4"/>
  <c r="Z41" i="4"/>
  <c r="Y42" i="4"/>
  <c r="AB42" i="4"/>
  <c r="Z42" i="4"/>
  <c r="Y43" i="4"/>
  <c r="AB43" i="4"/>
  <c r="Z43" i="4"/>
  <c r="Y44" i="4"/>
  <c r="AB44" i="4"/>
  <c r="Z44" i="4"/>
  <c r="AB45" i="4"/>
  <c r="Y45" i="4"/>
  <c r="Z45" i="4"/>
  <c r="AB46" i="4"/>
  <c r="Y46" i="4"/>
  <c r="Z46" i="4"/>
  <c r="AB47" i="4"/>
  <c r="Y47" i="4"/>
  <c r="Z47" i="4"/>
  <c r="AB48" i="4"/>
  <c r="Y48" i="4"/>
  <c r="Z48" i="4"/>
  <c r="Y49" i="4"/>
  <c r="AB49" i="4"/>
  <c r="Z49" i="4"/>
  <c r="AB50" i="4"/>
  <c r="Z50" i="4"/>
  <c r="Y50" i="4"/>
  <c r="AB51" i="4"/>
  <c r="Z51" i="4"/>
  <c r="Y51" i="4"/>
  <c r="Z52" i="4"/>
  <c r="AB52" i="4"/>
  <c r="Y52" i="4"/>
  <c r="Z53" i="4"/>
  <c r="AB53" i="4"/>
  <c r="Y53" i="4"/>
  <c r="AB54" i="4"/>
  <c r="Z54" i="4"/>
  <c r="Y54" i="4"/>
  <c r="AB55" i="4"/>
  <c r="Z55" i="4"/>
  <c r="Y55" i="4"/>
  <c r="Y56" i="4"/>
  <c r="AB56" i="4"/>
  <c r="Y57" i="4"/>
  <c r="AB57" i="4"/>
  <c r="Z57" i="4"/>
  <c r="Y58" i="4"/>
  <c r="AB58" i="4"/>
  <c r="Z58" i="4"/>
  <c r="Z59" i="4"/>
  <c r="Y59" i="4"/>
  <c r="AB59" i="4"/>
  <c r="Z60" i="4"/>
  <c r="AB60" i="4"/>
  <c r="Y60" i="4"/>
  <c r="Z61" i="4"/>
  <c r="AB61" i="4"/>
  <c r="Y61" i="4"/>
  <c r="Z62" i="4"/>
  <c r="Y62" i="4"/>
  <c r="AB62" i="4"/>
  <c r="Z63" i="4"/>
  <c r="AB63" i="4"/>
  <c r="Y63" i="4"/>
  <c r="Z64" i="4"/>
  <c r="Y64" i="4"/>
  <c r="AB64" i="4"/>
  <c r="Y65" i="4"/>
  <c r="AB65" i="4"/>
  <c r="AB66" i="4"/>
  <c r="Z66" i="4"/>
  <c r="Y66" i="4"/>
  <c r="Y67" i="4"/>
  <c r="AB67" i="4"/>
  <c r="Z68" i="4"/>
  <c r="Y68" i="4"/>
  <c r="AB68" i="4"/>
  <c r="Y69" i="4"/>
  <c r="Z69" i="4"/>
  <c r="AB69" i="4"/>
  <c r="Y70" i="4"/>
  <c r="AB70" i="4"/>
  <c r="Y71" i="4"/>
  <c r="Z71" i="4"/>
  <c r="AB71" i="4"/>
  <c r="AB72" i="4"/>
  <c r="Z72" i="4"/>
  <c r="Y72" i="4"/>
  <c r="Y73" i="4"/>
  <c r="AB73" i="4"/>
  <c r="Z73" i="4"/>
  <c r="AB74" i="4"/>
  <c r="Z74" i="4"/>
  <c r="Y74" i="4"/>
  <c r="AB75" i="4"/>
  <c r="Y75" i="4"/>
  <c r="Z76" i="4"/>
  <c r="AB76" i="4"/>
  <c r="Y76" i="4"/>
  <c r="Z77" i="4"/>
  <c r="AB77" i="4"/>
  <c r="Y77" i="4"/>
  <c r="AB78" i="4"/>
  <c r="Y78" i="4"/>
  <c r="Z79" i="4"/>
  <c r="AB79" i="4"/>
  <c r="Y79" i="4"/>
  <c r="AB80" i="4"/>
  <c r="Y80" i="4"/>
  <c r="Z81" i="4"/>
  <c r="AB81" i="4"/>
  <c r="Y81" i="4"/>
  <c r="AB82" i="4"/>
  <c r="Y82" i="4"/>
  <c r="AB83" i="4"/>
  <c r="Z83" i="4"/>
  <c r="Y83" i="4"/>
  <c r="AB84" i="4"/>
  <c r="Y84" i="4"/>
  <c r="Z84" i="4"/>
  <c r="Y85" i="4"/>
  <c r="Z85" i="4"/>
  <c r="AB85" i="4"/>
  <c r="Y86" i="4"/>
  <c r="Z86" i="4"/>
  <c r="AB86" i="4"/>
  <c r="Y87" i="4"/>
  <c r="Z87" i="4"/>
  <c r="AB87" i="4"/>
  <c r="AB88" i="4"/>
  <c r="Y88" i="4"/>
  <c r="Z88" i="4"/>
  <c r="Y89" i="4"/>
  <c r="AB89" i="4"/>
  <c r="Z89" i="4"/>
  <c r="Y90" i="4"/>
  <c r="AB90" i="4"/>
  <c r="Z90" i="4"/>
  <c r="AB91" i="4"/>
  <c r="Z91" i="4"/>
  <c r="Y91" i="4"/>
  <c r="AB92" i="4"/>
  <c r="Z92" i="4"/>
  <c r="Y92" i="4"/>
  <c r="AB93" i="4"/>
  <c r="Y93" i="4"/>
  <c r="AB94" i="4"/>
  <c r="Z94" i="4"/>
  <c r="Y94" i="4"/>
  <c r="AB95" i="4"/>
  <c r="Z95" i="4"/>
  <c r="Y95" i="4"/>
  <c r="AB96" i="4"/>
  <c r="Z96" i="4"/>
  <c r="Y96" i="4"/>
  <c r="AB97" i="4"/>
  <c r="Z97" i="4"/>
  <c r="Y97" i="4"/>
  <c r="AB98" i="4"/>
  <c r="Z98" i="4"/>
  <c r="Y98" i="4"/>
  <c r="AB99" i="4"/>
  <c r="Z99" i="4"/>
  <c r="Y99" i="4"/>
  <c r="Z100" i="4"/>
  <c r="AB100" i="4"/>
  <c r="Y100" i="4"/>
  <c r="AA105" i="4"/>
  <c r="P3"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2" i="4"/>
  <c r="V102" i="4"/>
  <c r="X102" i="4"/>
  <c r="AG96" i="4" l="1"/>
  <c r="AF96" i="4"/>
  <c r="AG59" i="4"/>
  <c r="AF59" i="4"/>
  <c r="AG11" i="4"/>
  <c r="AF11" i="4"/>
  <c r="AG47" i="4"/>
  <c r="AF47" i="4"/>
  <c r="AG61" i="4"/>
  <c r="AF61" i="4"/>
  <c r="AF9" i="4"/>
  <c r="AG9" i="4"/>
  <c r="AF12" i="4"/>
  <c r="AG12" i="4"/>
  <c r="AF20" i="4"/>
  <c r="AG20" i="4"/>
  <c r="AF22" i="4"/>
  <c r="AG22" i="4"/>
  <c r="AF53" i="4"/>
  <c r="AG53" i="4"/>
  <c r="Z10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B612E9-F6EF-4114-9F5F-E5A1B22847E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1AFA869-0FFB-4B75-8E8D-A233D98C1896}" name="WorksheetConnection_Excel Construction Project Controls ^0 Performance Analysis.xlsx!Table1" type="102" refreshedVersion="8" minRefreshableVersion="5">
    <extLst>
      <ext xmlns:x15="http://schemas.microsoft.com/office/spreadsheetml/2010/11/main" uri="{DE250136-89BD-433C-8126-D09CA5730AF9}">
        <x15:connection id="Table1" autoDelete="1">
          <x15:rangePr sourceName="_xlcn.WorksheetConnection_ExcelConstructionProjectControls0PerformanceAnalysis.xlsxTable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3">
    <s v="ThisWorkbookDataModel"/>
    <s v="{[Table1].[Cost_Data _Flag].&amp;[Complete]}"/>
    <s v="{[Table1].[Latest_Record_Flag].&amp;[Latest]}"/>
  </metadataStrings>
  <mdxMetadata count="2">
    <mdx n="0" f="s">
      <ms ns="1" c="0"/>
    </mdx>
    <mdx n="0" f="s">
      <ms ns="2" c="0"/>
    </mdx>
  </mdxMetadata>
  <futureMetadata name="XLDAPR" count="1">
    <bk>
      <extLst>
        <ext uri="{bdbb8cdc-fa1e-496e-a857-3c3f30c029c3}">
          <xda:dynamicArrayProperties fDynamic="1" fCollapsed="0"/>
        </ext>
      </extLst>
    </bk>
  </futureMetadata>
  <cellMetadata count="1">
    <bk>
      <rc t="1" v="0"/>
    </bk>
  </cellMetadata>
  <valueMetadata count="2">
    <bk>
      <rc t="2" v="0"/>
    </bk>
    <bk>
      <rc t="2" v="1"/>
    </bk>
  </valueMetadata>
</metadata>
</file>

<file path=xl/sharedStrings.xml><?xml version="1.0" encoding="utf-8"?>
<sst xmlns="http://schemas.openxmlformats.org/spreadsheetml/2006/main" count="2176" uniqueCount="477">
  <si>
    <t>Record_ID</t>
  </si>
  <si>
    <t>Project_ID</t>
  </si>
  <si>
    <t>Project_Name</t>
  </si>
  <si>
    <t>Site_Location</t>
  </si>
  <si>
    <t>Project_Type</t>
  </si>
  <si>
    <t>Project_Manager</t>
  </si>
  <si>
    <t>Main_Contractor</t>
  </si>
  <si>
    <t>Material_Category</t>
  </si>
  <si>
    <t>Start_Date</t>
  </si>
  <si>
    <t>Planned_Duration_Days</t>
  </si>
  <si>
    <t>Actual_Duration_Days</t>
  </si>
  <si>
    <t>Budget_ZAR</t>
  </si>
  <si>
    <t>Actual_Cost_ZAR</t>
  </si>
  <si>
    <t>Progress_Percent</t>
  </si>
  <si>
    <t>Project_Status</t>
  </si>
  <si>
    <t>Last_Updated</t>
  </si>
  <si>
    <t>REC-001</t>
  </si>
  <si>
    <t>PRJ-004</t>
  </si>
  <si>
    <t>Oak Residences</t>
  </si>
  <si>
    <t>Cape Town</t>
  </si>
  <si>
    <t>Residential</t>
  </si>
  <si>
    <t>B. Mokoena</t>
  </si>
  <si>
    <t>Mandla Construction</t>
  </si>
  <si>
    <t>Cement</t>
  </si>
  <si>
    <t>Planning</t>
  </si>
  <si>
    <t>REC-002</t>
  </si>
  <si>
    <t>PRJ-001</t>
  </si>
  <si>
    <t>Summit Residences</t>
  </si>
  <si>
    <t>Johannesburg</t>
  </si>
  <si>
    <t>Renovation</t>
  </si>
  <si>
    <t>C. Naidoo</t>
  </si>
  <si>
    <t>CapeBuild</t>
  </si>
  <si>
    <t>Steel</t>
  </si>
  <si>
    <t>On Hold</t>
  </si>
  <si>
    <t>REC-003</t>
  </si>
  <si>
    <t>PRJ-011</t>
  </si>
  <si>
    <t>Central Mall</t>
  </si>
  <si>
    <t>Pretoria</t>
  </si>
  <si>
    <t>Roofing</t>
  </si>
  <si>
    <t>43</t>
  </si>
  <si>
    <t>REC-004</t>
  </si>
  <si>
    <t>PRJ-012</t>
  </si>
  <si>
    <t>Riverside Mall</t>
  </si>
  <si>
    <t>Roadworks</t>
  </si>
  <si>
    <t>D. Smith</t>
  </si>
  <si>
    <t>ON HOLD</t>
  </si>
  <si>
    <t>REC-005</t>
  </si>
  <si>
    <t>Metro Depot</t>
  </si>
  <si>
    <t>E. Dlamini</t>
  </si>
  <si>
    <t>In Progress</t>
  </si>
  <si>
    <t>REC-006</t>
  </si>
  <si>
    <t>PRJ-002</t>
  </si>
  <si>
    <t>Riverside Depot</t>
  </si>
  <si>
    <t>28</t>
  </si>
  <si>
    <t>Completed</t>
  </si>
  <si>
    <t>REC-007</t>
  </si>
  <si>
    <t>PRJ-018</t>
  </si>
  <si>
    <t>Riverside Road Upgrade</t>
  </si>
  <si>
    <t>Gqeberha</t>
  </si>
  <si>
    <t>A. Jacobs</t>
  </si>
  <si>
    <t>BuildRight Ltd</t>
  </si>
  <si>
    <t>Concrete</t>
  </si>
  <si>
    <t>REC-008</t>
  </si>
  <si>
    <t>PRJ-006</t>
  </si>
  <si>
    <t>Harbour Mall</t>
  </si>
  <si>
    <t>Bricks</t>
  </si>
  <si>
    <t>REC-009</t>
  </si>
  <si>
    <t>Cedar School</t>
  </si>
  <si>
    <t>Infrastructure</t>
  </si>
  <si>
    <t>20</t>
  </si>
  <si>
    <t>REC-010</t>
  </si>
  <si>
    <t>Riverside Residences</t>
  </si>
  <si>
    <t>REC-011</t>
  </si>
  <si>
    <t>PRJ-003</t>
  </si>
  <si>
    <t>Oak Clinic</t>
  </si>
  <si>
    <t>residential</t>
  </si>
  <si>
    <t>UrbanWorks</t>
  </si>
  <si>
    <t>Complete</t>
  </si>
  <si>
    <t>REC-012</t>
  </si>
  <si>
    <t>Riverside Clinic</t>
  </si>
  <si>
    <t>REC-013</t>
  </si>
  <si>
    <t>Central Clinic</t>
  </si>
  <si>
    <t>REC-014</t>
  </si>
  <si>
    <t>PRJ-014</t>
  </si>
  <si>
    <t>Oak Office Block</t>
  </si>
  <si>
    <t>Commercial</t>
  </si>
  <si>
    <t>139</t>
  </si>
  <si>
    <t>REC-015</t>
  </si>
  <si>
    <t>PRJ-005</t>
  </si>
  <si>
    <t>Cedar Residences</t>
  </si>
  <si>
    <t>Build Right Ltd</t>
  </si>
  <si>
    <t>REC-016</t>
  </si>
  <si>
    <t>PRJ-016</t>
  </si>
  <si>
    <t>Oak School</t>
  </si>
  <si>
    <t xml:space="preserve">Renovation </t>
  </si>
  <si>
    <t>Ndlovu Projects</t>
  </si>
  <si>
    <t>REC-017</t>
  </si>
  <si>
    <t>Greenfield Residences</t>
  </si>
  <si>
    <t>REC-018</t>
  </si>
  <si>
    <t>Cedar Clinic</t>
  </si>
  <si>
    <t>REC-019</t>
  </si>
  <si>
    <t>PRJ-019</t>
  </si>
  <si>
    <t>Summit Bridge</t>
  </si>
  <si>
    <t>COMMERCIAL</t>
  </si>
  <si>
    <t>in progress</t>
  </si>
  <si>
    <t>REC-020</t>
  </si>
  <si>
    <t>PRJ-015</t>
  </si>
  <si>
    <t>Greenfield Mall</t>
  </si>
  <si>
    <t>Timber</t>
  </si>
  <si>
    <t>REC-021</t>
  </si>
  <si>
    <t>PRJ-010</t>
  </si>
  <si>
    <t>Summit Mall</t>
  </si>
  <si>
    <t>REC-022</t>
  </si>
  <si>
    <t>PRJ-007</t>
  </si>
  <si>
    <t>REC-023</t>
  </si>
  <si>
    <t>PRJ-009</t>
  </si>
  <si>
    <t>Metro Residences</t>
  </si>
  <si>
    <t>Durban</t>
  </si>
  <si>
    <t>REC-024</t>
  </si>
  <si>
    <t>REC-025</t>
  </si>
  <si>
    <t>PRJ-008</t>
  </si>
  <si>
    <t>Riverside School</t>
  </si>
  <si>
    <t>CAPETOWN</t>
  </si>
  <si>
    <t>REC-026</t>
  </si>
  <si>
    <t>Riverside Bridge</t>
  </si>
  <si>
    <t>REC-027</t>
  </si>
  <si>
    <t>PRJ-017</t>
  </si>
  <si>
    <t>REC-028</t>
  </si>
  <si>
    <t>REC-029</t>
  </si>
  <si>
    <t xml:space="preserve">completed </t>
  </si>
  <si>
    <t>REC-030</t>
  </si>
  <si>
    <t>PRJ-013</t>
  </si>
  <si>
    <t>Summit Clinic</t>
  </si>
  <si>
    <t xml:space="preserve">Durban </t>
  </si>
  <si>
    <t>REC-031</t>
  </si>
  <si>
    <t>Summit Office Block</t>
  </si>
  <si>
    <t>165</t>
  </si>
  <si>
    <t>75%</t>
  </si>
  <si>
    <t>REC-032</t>
  </si>
  <si>
    <t>REC-033</t>
  </si>
  <si>
    <t>Harbour Clinic</t>
  </si>
  <si>
    <t>128</t>
  </si>
  <si>
    <t>REC-034</t>
  </si>
  <si>
    <t>Central Road Upgrade</t>
  </si>
  <si>
    <t>REC-035</t>
  </si>
  <si>
    <t>REC-036</t>
  </si>
  <si>
    <t>REC-037</t>
  </si>
  <si>
    <t>Road Works</t>
  </si>
  <si>
    <t>REC-038</t>
  </si>
  <si>
    <t>REC-039</t>
  </si>
  <si>
    <t>REC-040</t>
  </si>
  <si>
    <t>REC-041</t>
  </si>
  <si>
    <t>REC-042</t>
  </si>
  <si>
    <t>REC-043</t>
  </si>
  <si>
    <t>Metro Bridge</t>
  </si>
  <si>
    <t>REC-044</t>
  </si>
  <si>
    <t>REC-045</t>
  </si>
  <si>
    <t>82</t>
  </si>
  <si>
    <t>REC-046</t>
  </si>
  <si>
    <t>81</t>
  </si>
  <si>
    <t>unknown</t>
  </si>
  <si>
    <t>REC-047</t>
  </si>
  <si>
    <t>Greenfield Depot</t>
  </si>
  <si>
    <t>REC-048</t>
  </si>
  <si>
    <t>Summit School</t>
  </si>
  <si>
    <t>157</t>
  </si>
  <si>
    <t>REC-049</t>
  </si>
  <si>
    <t>REC-050</t>
  </si>
  <si>
    <t>Oak Depot</t>
  </si>
  <si>
    <t>67</t>
  </si>
  <si>
    <t>REC-051</t>
  </si>
  <si>
    <t>Central Depot</t>
  </si>
  <si>
    <t>REC-052</t>
  </si>
  <si>
    <t>Metro Clinic</t>
  </si>
  <si>
    <t>REC-053</t>
  </si>
  <si>
    <t>REC-054</t>
  </si>
  <si>
    <t>REC-055</t>
  </si>
  <si>
    <t>REC-056</t>
  </si>
  <si>
    <t>REC-057</t>
  </si>
  <si>
    <t>cape town</t>
  </si>
  <si>
    <t>REC-058</t>
  </si>
  <si>
    <t>Infra-structure</t>
  </si>
  <si>
    <t>REC-059</t>
  </si>
  <si>
    <t>Harbour Bridge</t>
  </si>
  <si>
    <t>REC-060</t>
  </si>
  <si>
    <t>REC-061</t>
  </si>
  <si>
    <t>Harbour School</t>
  </si>
  <si>
    <t>90</t>
  </si>
  <si>
    <t>REC-062</t>
  </si>
  <si>
    <t>REC-063</t>
  </si>
  <si>
    <t>Harbour Road Upgrade</t>
  </si>
  <si>
    <t>REC-064</t>
  </si>
  <si>
    <t>Central School</t>
  </si>
  <si>
    <t>REC-065</t>
  </si>
  <si>
    <t>REC-066</t>
  </si>
  <si>
    <t>REC-067</t>
  </si>
  <si>
    <t>REC-068</t>
  </si>
  <si>
    <t>Summit Depot</t>
  </si>
  <si>
    <t>REC-069</t>
  </si>
  <si>
    <t>REC-070</t>
  </si>
  <si>
    <t>PRJ-020</t>
  </si>
  <si>
    <t>REC-071</t>
  </si>
  <si>
    <t>Summit Road Upgrade</t>
  </si>
  <si>
    <t>REC-072</t>
  </si>
  <si>
    <t>Cedar Bridge</t>
  </si>
  <si>
    <t>REC-073</t>
  </si>
  <si>
    <t>Harbour Office Block</t>
  </si>
  <si>
    <t>REC-074</t>
  </si>
  <si>
    <t>JHB</t>
  </si>
  <si>
    <t>REC-075</t>
  </si>
  <si>
    <t>202</t>
  </si>
  <si>
    <t>REC-076</t>
  </si>
  <si>
    <t>REC-077</t>
  </si>
  <si>
    <t>REC-078</t>
  </si>
  <si>
    <t>REC-079</t>
  </si>
  <si>
    <t>Cedar Depot</t>
  </si>
  <si>
    <t>REC-080</t>
  </si>
  <si>
    <t>Oak Mall</t>
  </si>
  <si>
    <t>REC-081</t>
  </si>
  <si>
    <t>54</t>
  </si>
  <si>
    <t>REC-082</t>
  </si>
  <si>
    <t>130</t>
  </si>
  <si>
    <t>REC-083</t>
  </si>
  <si>
    <t>REC-084</t>
  </si>
  <si>
    <t>Hold</t>
  </si>
  <si>
    <t>REC-085</t>
  </si>
  <si>
    <t>197</t>
  </si>
  <si>
    <t>REC-086</t>
  </si>
  <si>
    <t>REC-087</t>
  </si>
  <si>
    <t>REC-088</t>
  </si>
  <si>
    <t>REC-089</t>
  </si>
  <si>
    <t>REC-090</t>
  </si>
  <si>
    <t>Oak Bridge</t>
  </si>
  <si>
    <t>REC-091</t>
  </si>
  <si>
    <t>REC-092</t>
  </si>
  <si>
    <t>REC-093</t>
  </si>
  <si>
    <t>Greenfield Road Upgrade</t>
  </si>
  <si>
    <t>REC-094</t>
  </si>
  <si>
    <t>41</t>
  </si>
  <si>
    <t>REC-095</t>
  </si>
  <si>
    <t>Riverside Office Block</t>
  </si>
  <si>
    <t>188</t>
  </si>
  <si>
    <t>REC-096</t>
  </si>
  <si>
    <t>Metro Office Block</t>
  </si>
  <si>
    <t>REC-097</t>
  </si>
  <si>
    <t>REC-098</t>
  </si>
  <si>
    <t>Metro Mall</t>
  </si>
  <si>
    <t>REC-099</t>
  </si>
  <si>
    <t>152</t>
  </si>
  <si>
    <t>REC-158</t>
  </si>
  <si>
    <t>Project Brief</t>
  </si>
  <si>
    <t>Portfolio exercise: Construction Project Controls — Data Cleaning &amp; Analysis</t>
  </si>
  <si>
    <t>Business scenario: A construction company tracks project schedules, budgets, costs, progress, contractors and sites in a manually maintained spreadsheet.</t>
  </si>
  <si>
    <t>Dataset: 100 rows of intentionally messy, synthetic records. No real company or person data is used.</t>
  </si>
  <si>
    <t>Suggested workflow:</t>
  </si>
  <si>
    <t>1. Preserve Raw_Data unchanged; create a separate Cleaned_Data sheet.</t>
  </si>
  <si>
    <t>2. Profile blanks, duplicates, inconsistent labels, mixed date formats, numeric-as-text values and invalid progress entries.</t>
  </si>
  <si>
    <t>3. Standardize categories and contractor/site names; convert dates and numeric fields; document assumptions.</t>
  </si>
  <si>
    <t>4. Add calculated columns: Schedule_Variance_Days = Actual_Duration_Days - Planned_Duration_Days; Cost_Variance_ZAR = Actual_Cost_ZAR - Budget_ZAR; Cost_Variance_Pct = Cost_Variance_ZAR / Budget_ZAR; Budget_Status; Schedule_Status.</t>
  </si>
  <si>
    <t>5. Build pivot tables by Project_Type, Site_Location, Project_Manager, Main_Contractor and Project_Status.</t>
  </si>
  <si>
    <t>6. Suggested pivot charts: budget vs actual cost by project type; average schedule variance by site; project count by status; contractor cost variance.</t>
  </si>
  <si>
    <t>7. Dashboard ideas: KPI cards (project count, total budget, total actual cost, average schedule variance, over-budget count), slicers for site/type/status/manager, and 3–4 pivot charts.</t>
  </si>
  <si>
    <t>Analysis prompts: Which project types have the largest cost variance? Which sites show the longest delays? How does progress relate to project status? Which contractors have the most over-budget projects?</t>
  </si>
  <si>
    <t>Important: Project_ID repeats are expected because the data represents project tracking records; investigate duplicate Record_IDs or exact duplicate rows separately.</t>
  </si>
  <si>
    <t>All amounts are in ZAR. Treat missing budget/cost/progress as missing, not zero, unless your documented business rule says otherwise.</t>
  </si>
  <si>
    <t>Unknown</t>
  </si>
  <si>
    <t>Schedule_Variance</t>
  </si>
  <si>
    <t>Cost_Variance</t>
  </si>
  <si>
    <t>Cost_Variance_Percentage</t>
  </si>
  <si>
    <t>Budget_Status</t>
  </si>
  <si>
    <r>
      <rPr>
        <b/>
        <sz val="11"/>
        <color theme="1"/>
        <rFont val="Calibri"/>
        <family val="2"/>
        <scheme val="minor"/>
      </rPr>
      <t>Problems Incountered</t>
    </r>
    <r>
      <rPr>
        <sz val="11"/>
        <color theme="1"/>
        <rFont val="Calibri"/>
        <family val="2"/>
        <scheme val="minor"/>
      </rPr>
      <t>:</t>
    </r>
  </si>
  <si>
    <t>Schedule_Status</t>
  </si>
  <si>
    <t>Project_Expected_Status</t>
  </si>
  <si>
    <t>Project_Status_Check</t>
  </si>
  <si>
    <t>Progress Percent and Project Status  column had contradicting data so l created 2 flagging columns (Expected Status and Status Check) to determine data that needed investigating</t>
  </si>
  <si>
    <t xml:space="preserve"> ROADMAP : Messy data &gt; Cleaned data &gt; Data quality validation &gt; Calculated fields &gt; Pivot analysis &gt; Dashboard</t>
  </si>
  <si>
    <t>Cost_Data _Flag</t>
  </si>
  <si>
    <t>Budget_Missing</t>
  </si>
  <si>
    <t>Calculated Columns:</t>
  </si>
  <si>
    <t>Grand Total</t>
  </si>
  <si>
    <t>Uknown</t>
  </si>
  <si>
    <t>Avg_Schedule_Variance</t>
  </si>
  <si>
    <t>Normalize dates and inspect missing values.</t>
  </si>
  <si>
    <t>Date/blank</t>
  </si>
  <si>
    <t>Date of latest status update</t>
  </si>
  <si>
    <t>Standardize Planning, In Progress, Completed, On Hold.</t>
  </si>
  <si>
    <t>Text inconsistent</t>
  </si>
  <si>
    <t>Current status</t>
  </si>
  <si>
    <t>Normalize to numeric percentage from 0 to 100.</t>
  </si>
  <si>
    <t>Percent/text mixed</t>
  </si>
  <si>
    <t>Completion progress</t>
  </si>
  <si>
    <t>Handle missing values; compare with budget.</t>
  </si>
  <si>
    <t>Currency/blank</t>
  </si>
  <si>
    <t>Recorded actual cost in rand</t>
  </si>
  <si>
    <t>Handle missing values; don't assume zero.</t>
  </si>
  <si>
    <t>Approved budget in South African rand</t>
  </si>
  <si>
    <t>Convert to numeric; compare with plan.</t>
  </si>
  <si>
    <t>Number/text mixed</t>
  </si>
  <si>
    <t>Actual project duration</t>
  </si>
  <si>
    <t>Convert to numeric; validate positive values.</t>
  </si>
  <si>
    <t>Planned project duration</t>
  </si>
  <si>
    <t>Normalize to a consistent date format.</t>
  </si>
  <si>
    <t>Date/text mixed</t>
  </si>
  <si>
    <t>Project start date</t>
  </si>
  <si>
    <t>Categorical field for analysis.</t>
  </si>
  <si>
    <t>Text</t>
  </si>
  <si>
    <t>Primary material category</t>
  </si>
  <si>
    <t>Standardize contractor names.</t>
  </si>
  <si>
    <t>Primary contractor</t>
  </si>
  <si>
    <t>Identify blanks and decide whether to label Unknown.</t>
  </si>
  <si>
    <t>Responsible project manager</t>
  </si>
  <si>
    <t>Standardize categories (e.g., Roadworks, Infrastructure).</t>
  </si>
  <si>
    <t>Construction work category</t>
  </si>
  <si>
    <t>Standardize values (e.g., Cape Town, Johannesburg).</t>
  </si>
  <si>
    <t>City/site location</t>
  </si>
  <si>
    <t>Check spelling and inconsistent naming.</t>
  </si>
  <si>
    <t>Project/site project label</t>
  </si>
  <si>
    <t>Standardize format; repeated IDs are expected.</t>
  </si>
  <si>
    <t>Project reference; may repeat across work records</t>
  </si>
  <si>
    <t>Should be unique; check duplicates.</t>
  </si>
  <si>
    <t>Unique row identifier</t>
  </si>
  <si>
    <t>Cleaning_Notes</t>
  </si>
  <si>
    <t>Expected_Format</t>
  </si>
  <si>
    <t>Meaning</t>
  </si>
  <si>
    <t>Column</t>
  </si>
  <si>
    <t>Pivot Tables:</t>
  </si>
  <si>
    <t>Dashboard:</t>
  </si>
  <si>
    <t>Steps Taken:</t>
  </si>
  <si>
    <t/>
  </si>
  <si>
    <t>Analysis Questions:</t>
  </si>
  <si>
    <t>1. How many projects are there and what is their current status</t>
  </si>
  <si>
    <t>2.Which projext types have the most schedule problems?</t>
  </si>
  <si>
    <t>3. Which project types have the greatest cost problems?</t>
  </si>
  <si>
    <t>4. Which contractors are performing well or poorly?</t>
  </si>
  <si>
    <t>6. How much budget vs actual cost is being spent?</t>
  </si>
  <si>
    <t>5. Which locations have the most projects and delays?</t>
  </si>
  <si>
    <t>7. Which projects have the largest cost overruns?</t>
  </si>
  <si>
    <t>8. How many projects have missing financial data?</t>
  </si>
  <si>
    <t>Ahead of Schedule</t>
  </si>
  <si>
    <t>Behind Schedule</t>
  </si>
  <si>
    <t>On Schedule</t>
  </si>
  <si>
    <t>Missing Data</t>
  </si>
  <si>
    <t>Over Budget</t>
  </si>
  <si>
    <t>Under Budget</t>
  </si>
  <si>
    <t>Avg_Cost_Variance</t>
  </si>
  <si>
    <t>Actual Cost Missing</t>
  </si>
  <si>
    <t>Budget Missing</t>
  </si>
  <si>
    <t>Cost_Data_Flag</t>
  </si>
  <si>
    <t>Schedule_Variance_Count</t>
  </si>
  <si>
    <t>Cost_Variance_Pivot</t>
  </si>
  <si>
    <t>Cost_Variance_Percentage_Pivot</t>
  </si>
  <si>
    <t>Avg_Cost_Variance_Percentage</t>
  </si>
  <si>
    <t>Actual_Missing</t>
  </si>
  <si>
    <t>Unique_Project_Count</t>
  </si>
  <si>
    <t>Budget_ZAR_Sum</t>
  </si>
  <si>
    <t>Cost_Variance_Sum</t>
  </si>
  <si>
    <t>Actual_Cost_ZAR_Sum</t>
  </si>
  <si>
    <t xml:space="preserve">Realized disrepancies in my Cost Performance pivot table. Validated by filtering on Cost Data Flag column (Complete) then used Subtotal to calculate total Actual Cost, total Budget and total Cost Variance columns instead of Sum. However the budget and actual cost total increased in the Pivot Table grand total because it includes records with a budget or actual cost even when the other field is missing whereas the Complete records (SUBTOTAL) returns zero for those incomplete records </t>
  </si>
  <si>
    <t>The  Infrastructure project type Cost Variance in my Cost Performance Pivot Table mixed two different groups of records: (1. Budget and Actual Cost sums included records even when  one value is missing. 2. Cost Variance sums only records where both Budget and Actual Cost are available.) To fix this l created a duplicated table filtering on the  Cost Data Flag (Complete)</t>
  </si>
  <si>
    <t>NB//: Grand Total shows 20 but the values shows &gt;20. There is no error - the data contains multiple tracking records per project. A project can appear more than one budget status across its tracking history eg a project might have missing cost data in one record and be over budget in a later record</t>
  </si>
  <si>
    <t>Latest_Record_Flag</t>
  </si>
  <si>
    <t>Valid_Date_Count</t>
  </si>
  <si>
    <t>Latest_Count</t>
  </si>
  <si>
    <t>Record_Review_Flag</t>
  </si>
  <si>
    <t>Latest_Record_Check</t>
  </si>
  <si>
    <t>Project_Count</t>
  </si>
  <si>
    <t xml:space="preserve"> Location Performance</t>
  </si>
  <si>
    <t xml:space="preserve"> Contractor Performance</t>
  </si>
  <si>
    <t>Budget Status - Tracking History</t>
  </si>
  <si>
    <t xml:space="preserve"> Cost_Performance-Complete Records Only</t>
  </si>
  <si>
    <t xml:space="preserve"> Cost Performance -All Records</t>
  </si>
  <si>
    <t xml:space="preserve"> Schedule Status</t>
  </si>
  <si>
    <t xml:space="preserve"> Schedule Performance</t>
  </si>
  <si>
    <t xml:space="preserve"> Project Overview</t>
  </si>
  <si>
    <t>Data Quality</t>
  </si>
  <si>
    <t>Latest</t>
  </si>
  <si>
    <t>Mismatch</t>
  </si>
  <si>
    <t>OK</t>
  </si>
  <si>
    <t>Review</t>
  </si>
  <si>
    <t>Budget Status - Current</t>
  </si>
  <si>
    <t>Schedule Status - Current</t>
  </si>
  <si>
    <t>Expected Project Status - Current</t>
  </si>
  <si>
    <t>Area</t>
  </si>
  <si>
    <t>Key Finding</t>
  </si>
  <si>
    <t>Business Impact</t>
  </si>
  <si>
    <t>Recommendation</t>
  </si>
  <si>
    <t>Step</t>
  </si>
  <si>
    <t>Methodology</t>
  </si>
  <si>
    <t>1. Data cleaning</t>
  </si>
  <si>
    <t>2. Data quality checks</t>
  </si>
  <si>
    <t xml:space="preserve">Checked Record_ID uniqueness, investigated a suspected duplicate record, and created flags for missing budget and actual cost data. </t>
  </si>
  <si>
    <t>3. Calculated columns</t>
  </si>
  <si>
    <t>Calculated schedule variance, cost variance, cost variance percentage, budget status, expected project status and status validation flags</t>
  </si>
  <si>
    <t>4. Latest-record analysis</t>
  </si>
  <si>
    <t>Identified the latest dated tracking record for each Project_ID to represent its latest recorded position.</t>
  </si>
  <si>
    <t>Created KPI cards and four charts, then documented business findings and recommendation follow-up actions</t>
  </si>
  <si>
    <t>Investigate cost variances, review estimates and approved changes, and monitor actual expenditure against budgets</t>
  </si>
  <si>
    <t>55% Cost</t>
  </si>
  <si>
    <t>70% Schedule</t>
  </si>
  <si>
    <t>11 of the 20 projects are recorded as over budget</t>
  </si>
  <si>
    <t>14 of the 20 projects are recorded as behind schedule</t>
  </si>
  <si>
    <t>Review delayed activities, resource availability, subcontractor dependencies, and differences between planned and actual duration.</t>
  </si>
  <si>
    <t>70% Data quality</t>
  </si>
  <si>
    <t>14 projects are marked either Review or Mismatch</t>
  </si>
  <si>
    <t>Reconcile recorded project statuses with progress percentages and confirm whether projects marked On Hold need separate treatment</t>
  </si>
  <si>
    <t>2 Missing data</t>
  </si>
  <si>
    <t>Two latest project records are classified as Missing Data in the budget-status pivot</t>
  </si>
  <si>
    <t>Obtain the missing budget or actual cost figures before drawing conclusions about those projects' financial performance</t>
  </si>
  <si>
    <t>Cleaning Activity</t>
  </si>
  <si>
    <t>What I Did</t>
  </si>
  <si>
    <t>Standardised text</t>
  </si>
  <si>
    <t>Used consistent spelling and formatting for site locations, project types, project statuses and contractor names.</t>
  </si>
  <si>
    <t>Handled missing values</t>
  </si>
  <si>
    <t>Checked record identifiers</t>
  </si>
  <si>
    <t>Validated project status</t>
  </si>
  <si>
    <t>Compared recorded project statuses with progress percentages using defined business rules.</t>
  </si>
  <si>
    <t>Checked cost performance</t>
  </si>
  <si>
    <t>Calculated schedule variance as actual duration minus planned duration.</t>
  </si>
  <si>
    <t xml:space="preserve">Identified latest records </t>
  </si>
  <si>
    <t>Used Last_Updated to identify the latest dated tracking record for each project.</t>
  </si>
  <si>
    <t>Preserved data lineage</t>
  </si>
  <si>
    <t>Retained the original raw dataset and conducted analysis using a separate working copy.</t>
  </si>
  <si>
    <t>Date standardisation</t>
  </si>
  <si>
    <t>Standardised project types, site locations, project statuses and contractor names. Corrected inconsistent text formatting.</t>
  </si>
  <si>
    <t>Created missing-data flags for budget and actual cost fields rather than assuming missing values zero. Replaced missing categorical values with Unknown while retaining numericc values for appropriate treatment during analysis.</t>
  </si>
  <si>
    <t>Verified that Record_ID values were unique and investigated a suspected duplicate tracking record (REC-158).</t>
  </si>
  <si>
    <t>Used Short Date to standardise date columns</t>
  </si>
  <si>
    <t>1.Cost Variance</t>
  </si>
  <si>
    <t>2. Cost Variance Percentage</t>
  </si>
  <si>
    <t>3. Budget Status</t>
  </si>
  <si>
    <t>4. Budget Missing</t>
  </si>
  <si>
    <t>5. Actual Cost Missing</t>
  </si>
  <si>
    <t>6. Cost Data Flag</t>
  </si>
  <si>
    <t>7. Project Expected Status</t>
  </si>
  <si>
    <t xml:space="preserve">8. Project Status Check </t>
  </si>
  <si>
    <t>. Schedule Variance</t>
  </si>
  <si>
    <t>10. Schedule Status</t>
  </si>
  <si>
    <t>11. Latest Record Flag</t>
  </si>
  <si>
    <t>Could not format Cost Variance and Cost Variance Percentage in my pivot table because Excel treated the formula =IF(OR(ISBLANK(N2),ISBLANK(L2)),"",N2-L2) as text so l create Cost Variance Pivot and Cost Variance Percentage Pivot for pivot table aggregation</t>
  </si>
  <si>
    <t>1. Project Overview</t>
  </si>
  <si>
    <t>2. Schedule Performance</t>
  </si>
  <si>
    <t>3. Schedule Status</t>
  </si>
  <si>
    <t>4. Cost Performance - All records</t>
  </si>
  <si>
    <t>5. Cost Performance - Complete records only</t>
  </si>
  <si>
    <t>6. Budget Status - Tracking History</t>
  </si>
  <si>
    <t>7. Contractor Performance</t>
  </si>
  <si>
    <t>8. Location Performance</t>
  </si>
  <si>
    <t>9. Data Quality</t>
  </si>
  <si>
    <t>10. Budget Status - Current</t>
  </si>
  <si>
    <t>11. Schedule Status - Current</t>
  </si>
  <si>
    <t>12. Expected Project Status - Current</t>
  </si>
  <si>
    <t>13. Project Status Check</t>
  </si>
  <si>
    <t xml:space="preserve">KPI Cards: </t>
  </si>
  <si>
    <t>Total Projects</t>
  </si>
  <si>
    <t>Review/Mismatch</t>
  </si>
  <si>
    <t>Current Budget Status</t>
  </si>
  <si>
    <t>Latest Recorded Schedule Status</t>
  </si>
  <si>
    <t>Expected Project Status - Latest Recorded</t>
  </si>
  <si>
    <t>Project Status Check - Latest Recorded</t>
  </si>
  <si>
    <t>Charts</t>
  </si>
  <si>
    <t xml:space="preserve"> 20 unique projects with 100 tracking records (record IDs). That's why my pivot calculations shows a grand total total of 20  </t>
  </si>
  <si>
    <t xml:space="preserve"> Checked REC-158 as a possible duplicate for REC- 058 and removed it from the table</t>
  </si>
  <si>
    <t xml:space="preserve"> Converted the worksheet range into a table to create a dynamic database</t>
  </si>
  <si>
    <t xml:space="preserve"> Standardised the Site Location, Project Status and Project Type columns</t>
  </si>
  <si>
    <t>Replaced missing categorical values with "Unknown" while retaining missing numeric values for appropiate treatment during analysis.</t>
  </si>
  <si>
    <t xml:space="preserve">Standardise Main Contractor column </t>
  </si>
  <si>
    <t xml:space="preserve">Used the Short Date to standardise the Start Date and Last  Updated column </t>
  </si>
  <si>
    <t xml:space="preserve">Converted Planned Duration Days &amp; Actual Duration Days from mixed text and numbers to all numeric values </t>
  </si>
  <si>
    <t xml:space="preserve"> Missing financial values (Budgeted Zar and Actual Cost Zar) were not automatically replaced because doing so could introduce artificial values and distort cost analysis.</t>
  </si>
  <si>
    <t xml:space="preserve"> Standardised the Progress Percent column to numbers between 0 to 100. Created a helper column to populate missing values</t>
  </si>
  <si>
    <t xml:space="preserve"> Formatted the financial value columns from numeric to Zar (rands)</t>
  </si>
  <si>
    <t>Created a Cost Variance Pivot helper column for pivot table aggregation</t>
  </si>
  <si>
    <t xml:space="preserve">   • Duplicate handling: Two records for PRJ-001 had the same latest date and appeared identical apart from Record_ID (REC-058 and REC-158).</t>
  </si>
  <si>
    <t xml:space="preserve">   • Limitations: The analysis represents the latest available tracking records, not necessarily verified final project outcomes. Missing cost data and status inconsistencies may affect interpretation.</t>
  </si>
  <si>
    <t>5.Pivot table analysis</t>
  </si>
  <si>
    <t>Summarised budget performance, schedule performance, expected project status and status-validataion results.</t>
  </si>
  <si>
    <t>6. Dashboard and 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</si>
</sst>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R-1C09]#,##0"/>
    <numFmt numFmtId="166" formatCode="[$R-1C09]#,##0.00"/>
  </numFmts>
  <fonts count="11" x14ac:knownFonts="1">
    <font>
      <sz val="11"/>
      <color theme="1"/>
      <name val="Calibri"/>
      <family val="2"/>
      <scheme val="minor"/>
    </font>
    <font>
      <b/>
      <sz val="11"/>
      <color rgb="FFFFFFFF"/>
      <name val="Calibri"/>
      <family val="2"/>
    </font>
    <font>
      <sz val="11"/>
      <color theme="1"/>
      <name val="Calibri"/>
      <family val="2"/>
      <scheme val="minor"/>
    </font>
    <font>
      <b/>
      <sz val="11"/>
      <color theme="1"/>
      <name val="Calibri"/>
      <family val="2"/>
      <scheme val="minor"/>
    </font>
    <font>
      <b/>
      <sz val="11"/>
      <color rgb="FFFFFFFF"/>
      <name val="Calibri"/>
      <family val="2"/>
    </font>
    <font>
      <i/>
      <sz val="11"/>
      <color theme="1"/>
      <name val="Calibri"/>
      <family val="2"/>
      <scheme val="minor"/>
    </font>
    <font>
      <b/>
      <u/>
      <sz val="11"/>
      <color theme="1"/>
      <name val="Calibri"/>
      <family val="2"/>
      <scheme val="minor"/>
    </font>
    <font>
      <u/>
      <sz val="11"/>
      <color theme="1"/>
      <name val="Calibri"/>
      <family val="2"/>
      <scheme val="minor"/>
    </font>
    <font>
      <b/>
      <sz val="11"/>
      <color rgb="FFFFFFFF"/>
      <name val="Calibri"/>
    </font>
    <font>
      <b/>
      <sz val="12"/>
      <color theme="1"/>
      <name val="Calibri"/>
      <family val="2"/>
      <scheme val="minor"/>
    </font>
    <font>
      <i/>
      <u/>
      <sz val="11"/>
      <color theme="1"/>
      <name val="Calibri"/>
      <family val="2"/>
      <scheme val="minor"/>
    </font>
  </fonts>
  <fills count="5">
    <fill>
      <patternFill patternType="none"/>
    </fill>
    <fill>
      <patternFill patternType="gray125"/>
    </fill>
    <fill>
      <patternFill patternType="solid">
        <fgColor rgb="FF1F4E78"/>
      </patternFill>
    </fill>
    <fill>
      <patternFill patternType="solid">
        <fgColor rgb="FF1F4E78"/>
        <bgColor indexed="64"/>
      </patternFill>
    </fill>
    <fill>
      <patternFill patternType="solid">
        <fgColor theme="0" tint="-0.249977111117893"/>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indexed="64"/>
      </right>
      <top/>
      <bottom/>
      <diagonal/>
    </border>
    <border>
      <left/>
      <right/>
      <top style="thin">
        <color rgb="FFFBFCFC"/>
      </top>
      <bottom/>
      <diagonal/>
    </border>
    <border>
      <left style="thin">
        <color rgb="FFFBFCFC"/>
      </left>
      <right/>
      <top style="thin">
        <color rgb="FFFBFCFC"/>
      </top>
      <bottom/>
      <diagonal/>
    </border>
    <border>
      <left/>
      <right style="thin">
        <color rgb="FFFBFCFC"/>
      </right>
      <top style="thin">
        <color rgb="FFFBFCFC"/>
      </top>
      <bottom/>
      <diagonal/>
    </border>
    <border>
      <left style="thin">
        <color rgb="FFFBFCFC"/>
      </left>
      <right/>
      <top/>
      <bottom/>
      <diagonal/>
    </border>
    <border>
      <left style="thin">
        <color rgb="FFFBFCFC"/>
      </left>
      <right/>
      <top/>
      <bottom style="thin">
        <color rgb="FFFBFCFC"/>
      </bottom>
      <diagonal/>
    </border>
  </borders>
  <cellStyleXfs count="2">
    <xf numFmtId="0" fontId="0" fillId="0" borderId="0"/>
    <xf numFmtId="9" fontId="2" fillId="0" borderId="0" applyFont="0" applyFill="0" applyBorder="0" applyAlignment="0" applyProtection="0"/>
  </cellStyleXfs>
  <cellXfs count="47">
    <xf numFmtId="0" fontId="0" fillId="0" borderId="0" xfId="0"/>
    <xf numFmtId="0" fontId="1" fillId="2" borderId="1" xfId="0" applyFont="1" applyFill="1" applyBorder="1" applyAlignment="1">
      <alignment vertical="center" wrapText="1"/>
    </xf>
    <xf numFmtId="0" fontId="0" fillId="0" borderId="0" xfId="0" applyAlignment="1">
      <alignment vertical="top" wrapText="1"/>
    </xf>
    <xf numFmtId="164" fontId="0" fillId="0" borderId="0" xfId="0" applyNumberFormat="1" applyAlignment="1">
      <alignment vertical="top" wrapText="1"/>
    </xf>
    <xf numFmtId="14" fontId="1" fillId="2" borderId="1" xfId="0" applyNumberFormat="1" applyFont="1" applyFill="1" applyBorder="1" applyAlignment="1">
      <alignment vertical="center" wrapText="1"/>
    </xf>
    <xf numFmtId="14" fontId="0" fillId="0" borderId="0" xfId="0" applyNumberFormat="1" applyAlignment="1">
      <alignment vertical="top" wrapText="1"/>
    </xf>
    <xf numFmtId="14" fontId="0" fillId="0" borderId="0" xfId="0" applyNumberFormat="1"/>
    <xf numFmtId="9" fontId="0" fillId="0" borderId="0" xfId="0" applyNumberFormat="1" applyAlignment="1">
      <alignment vertical="top" wrapText="1"/>
    </xf>
    <xf numFmtId="14" fontId="1" fillId="2" borderId="2" xfId="0" applyNumberFormat="1" applyFont="1" applyFill="1" applyBorder="1" applyAlignment="1">
      <alignment vertical="center" wrapText="1"/>
    </xf>
    <xf numFmtId="9" fontId="0" fillId="0" borderId="0" xfId="1" applyFont="1"/>
    <xf numFmtId="0" fontId="3" fillId="0" borderId="0" xfId="0" applyFont="1"/>
    <xf numFmtId="0" fontId="0" fillId="0" borderId="3" xfId="0" applyBorder="1"/>
    <xf numFmtId="0" fontId="4" fillId="2" borderId="1" xfId="0" applyFont="1" applyFill="1" applyBorder="1" applyAlignment="1">
      <alignment vertical="center" wrapText="1"/>
    </xf>
    <xf numFmtId="165" fontId="1" fillId="2" borderId="1" xfId="0" applyNumberFormat="1" applyFont="1" applyFill="1" applyBorder="1" applyAlignment="1">
      <alignment vertical="center" wrapText="1"/>
    </xf>
    <xf numFmtId="165" fontId="0" fillId="0" borderId="0" xfId="0" applyNumberFormat="1" applyAlignment="1">
      <alignment vertical="top" wrapText="1"/>
    </xf>
    <xf numFmtId="165" fontId="0" fillId="0" borderId="0" xfId="0" applyNumberFormat="1"/>
    <xf numFmtId="165" fontId="4" fillId="2" borderId="1" xfId="0" applyNumberFormat="1" applyFont="1" applyFill="1" applyBorder="1" applyAlignment="1">
      <alignment vertical="center" wrapText="1"/>
    </xf>
    <xf numFmtId="0" fontId="0" fillId="0" borderId="0" xfId="0" pivotButton="1"/>
    <xf numFmtId="0" fontId="0" fillId="0" borderId="0" xfId="0" applyAlignment="1">
      <alignment horizontal="left"/>
    </xf>
    <xf numFmtId="2" fontId="0" fillId="0" borderId="0" xfId="0" applyNumberFormat="1"/>
    <xf numFmtId="14" fontId="3" fillId="0" borderId="0" xfId="0" applyNumberFormat="1" applyFont="1"/>
    <xf numFmtId="165" fontId="3" fillId="0" borderId="0" xfId="0" applyNumberFormat="1" applyFont="1"/>
    <xf numFmtId="0" fontId="5" fillId="0" borderId="0" xfId="0" applyFont="1"/>
    <xf numFmtId="0" fontId="6" fillId="0" borderId="0" xfId="0" applyFont="1"/>
    <xf numFmtId="0" fontId="7" fillId="0" borderId="0" xfId="0" applyFont="1"/>
    <xf numFmtId="9" fontId="0" fillId="0" borderId="0" xfId="0" applyNumberFormat="1"/>
    <xf numFmtId="166" fontId="0" fillId="0" borderId="0" xfId="0" applyNumberFormat="1"/>
    <xf numFmtId="166" fontId="1" fillId="2" borderId="1" xfId="0" applyNumberFormat="1" applyFont="1" applyFill="1" applyBorder="1" applyAlignment="1">
      <alignment vertical="center" wrapText="1"/>
    </xf>
    <xf numFmtId="166" fontId="3" fillId="0" borderId="0" xfId="0" applyNumberFormat="1" applyFont="1"/>
    <xf numFmtId="166" fontId="1" fillId="3" borderId="2" xfId="0" applyNumberFormat="1" applyFont="1" applyFill="1" applyBorder="1" applyAlignment="1">
      <alignment vertical="center" wrapText="1"/>
    </xf>
    <xf numFmtId="9" fontId="3" fillId="0" borderId="0" xfId="1" applyFont="1"/>
    <xf numFmtId="0" fontId="3" fillId="0" borderId="0" xfId="0" applyFont="1" applyAlignment="1">
      <alignment horizontal="centerContinuous"/>
    </xf>
    <xf numFmtId="166" fontId="3" fillId="0" borderId="0" xfId="0" applyNumberFormat="1" applyFont="1" applyAlignment="1">
      <alignment horizontal="centerContinuous"/>
    </xf>
    <xf numFmtId="9" fontId="3" fillId="0" borderId="0" xfId="0" applyNumberFormat="1" applyFont="1" applyAlignment="1">
      <alignment horizontal="centerContinuous"/>
    </xf>
    <xf numFmtId="14" fontId="8" fillId="3" borderId="2" xfId="0" applyNumberFormat="1" applyFont="1" applyFill="1" applyBorder="1" applyAlignment="1">
      <alignment vertical="center" wrapText="1"/>
    </xf>
    <xf numFmtId="0" fontId="0" fillId="0" borderId="0" xfId="0" applyAlignment="1">
      <alignment horizontal="left" vertical="center" indent="1"/>
    </xf>
    <xf numFmtId="14" fontId="1" fillId="3" borderId="2" xfId="0" applyNumberFormat="1" applyFont="1" applyFill="1" applyBorder="1" applyAlignment="1">
      <alignment vertical="center" wrapText="1"/>
    </xf>
    <xf numFmtId="0" fontId="0" fillId="0" borderId="0" xfId="0" quotePrefix="1"/>
    <xf numFmtId="0" fontId="9" fillId="0" borderId="0" xfId="0" applyFont="1"/>
    <xf numFmtId="0" fontId="10" fillId="0" borderId="0" xfId="0" applyFont="1"/>
    <xf numFmtId="0" fontId="0" fillId="4" borderId="5" xfId="0" applyFill="1" applyBorder="1"/>
    <xf numFmtId="0" fontId="0" fillId="4" borderId="4" xfId="0" applyFill="1" applyBorder="1"/>
    <xf numFmtId="0" fontId="0" fillId="4" borderId="6" xfId="0" applyFill="1" applyBorder="1"/>
    <xf numFmtId="0" fontId="0" fillId="4" borderId="0" xfId="0" applyFill="1"/>
    <xf numFmtId="0" fontId="0" fillId="4" borderId="7" xfId="0" applyFill="1" applyBorder="1"/>
    <xf numFmtId="9" fontId="0" fillId="4" borderId="0" xfId="1" applyFont="1" applyFill="1"/>
    <xf numFmtId="0" fontId="0" fillId="4" borderId="8" xfId="0" applyFill="1" applyBorder="1"/>
  </cellXfs>
  <cellStyles count="2">
    <cellStyle name="Normal" xfId="0" builtinId="0"/>
    <cellStyle name="Percent" xfId="1" builtinId="5"/>
  </cellStyles>
  <dxfs count="48">
    <dxf>
      <font>
        <color rgb="FF9C0006"/>
      </font>
      <fill>
        <patternFill>
          <bgColor rgb="FFFFC7CE"/>
        </patternFill>
      </fill>
    </dxf>
    <dxf>
      <font>
        <color rgb="FF9C0006"/>
      </font>
      <fill>
        <patternFill>
          <bgColor rgb="FFFFC7CE"/>
        </patternFill>
      </fill>
    </dxf>
    <dxf>
      <numFmt numFmtId="166" formatCode="[$R-1C09]#,##0.00"/>
    </dxf>
    <dxf>
      <numFmt numFmtId="166" formatCode="[$R-1C09]#,##0.00"/>
    </dxf>
    <dxf>
      <numFmt numFmtId="166" formatCode="[$R-1C09]#,##0.00"/>
    </dxf>
    <dxf>
      <numFmt numFmtId="2" formatCode="0.00"/>
    </dxf>
    <dxf>
      <numFmt numFmtId="2" formatCode="0.00"/>
    </dxf>
    <dxf>
      <numFmt numFmtId="166" formatCode="[$R-1C09]#,##0.00"/>
    </dxf>
    <dxf>
      <numFmt numFmtId="13" formatCode="0%"/>
    </dxf>
    <dxf>
      <numFmt numFmtId="166" formatCode="[$R-1C09]#,##0.00"/>
    </dxf>
    <dxf>
      <numFmt numFmtId="166" formatCode="[$R-1C09]#,##0.00"/>
    </dxf>
    <dxf>
      <numFmt numFmtId="166" formatCode="[$R-1C09]#,##0.00"/>
    </dxf>
    <dxf>
      <numFmt numFmtId="166" formatCode="[$R-1C09]#,##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13" formatCode="0%"/>
    </dxf>
    <dxf>
      <numFmt numFmtId="166" formatCode="[$R-1C09]#,##0.00"/>
    </dxf>
    <dxf>
      <numFmt numFmtId="0" formatCode="General"/>
    </dxf>
    <dxf>
      <font>
        <b val="0"/>
        <i val="0"/>
        <strike val="0"/>
        <condense val="0"/>
        <extend val="0"/>
        <outline val="0"/>
        <shadow val="0"/>
        <u val="none"/>
        <vertAlign val="baseline"/>
        <sz val="11"/>
        <color theme="1"/>
        <name val="Calibri"/>
        <family val="2"/>
        <scheme val="minor"/>
      </font>
      <numFmt numFmtId="13" formatCode="0%"/>
    </dxf>
    <dxf>
      <numFmt numFmtId="166" formatCode="[$R-1C09]#,##0.00"/>
    </dxf>
    <dxf>
      <numFmt numFmtId="0" formatCode="General"/>
    </dxf>
    <dxf>
      <numFmt numFmtId="0" formatCode="General"/>
    </dxf>
    <dxf>
      <numFmt numFmtId="19" formatCode="m/d/yyyy"/>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165" formatCode="[$R-1C09]#,##0"/>
      <alignment horizontal="general" vertical="top" textRotation="0" wrapText="1" indent="0" justifyLastLine="0" shrinkToFit="0" readingOrder="0"/>
    </dxf>
    <dxf>
      <numFmt numFmtId="165" formatCode="[$R-1C09]#,##0"/>
      <alignment horizontal="general" vertical="top" textRotation="0" wrapText="1" indent="0" justifyLastLine="0" shrinkToFit="0" readingOrder="0"/>
    </dxf>
    <dxf>
      <numFmt numFmtId="165" formatCode="[$R-1C09]#,##0"/>
      <alignment horizontal="general" vertical="top" textRotation="0" wrapText="1" indent="0" justifyLastLine="0" shrinkToFit="0" readingOrder="0"/>
    </dxf>
    <dxf>
      <numFmt numFmtId="165" formatCode="[$R-1C09]#,##0"/>
      <alignment horizontal="general" vertical="top" textRotation="0" wrapText="1" indent="0" justifyLastLine="0" shrinkToFit="0" readingOrder="0"/>
    </dxf>
    <dxf>
      <numFmt numFmtId="165" formatCode="[$R-1C09]#,##0"/>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19" formatCode="m/d/yyyy"/>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numFmt numFmtId="19" formatCode="m/d/yyyy"/>
      <fill>
        <patternFill patternType="solid">
          <fgColor indexed="64"/>
          <bgColor rgb="FF1F4E78"/>
        </patternFill>
      </fill>
      <alignment horizontal="general"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BFC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10.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pivotCacheDefinition" Target="pivotCache/pivotCacheDefinition13.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styles" Target="styles.xml"/><Relationship Id="rId30"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[Construction_Project_Controls _Analysis.xlsx]PT_Project_Overview!PivotTable1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Current</a:t>
            </a:r>
            <a:r>
              <a:rPr lang="en-US" baseline="0"/>
              <a:t> Budget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PT_Project_Overview!$B$93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9C-432E-BDE2-2A6C3BCDF4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9C-432E-BDE2-2A6C3BCDF4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29C-432E-BDE2-2A6C3BCDF4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PT_Project_Overview!$A$94:$A$97</c:f>
              <c:strCache>
                <c:ptCount val="3"/>
                <c:pt idx="0">
                  <c:v>Missing Data</c:v>
                </c:pt>
                <c:pt idx="1">
                  <c:v>Over Budget</c:v>
                </c:pt>
                <c:pt idx="2">
                  <c:v>Under Budget</c:v>
                </c:pt>
              </c:strCache>
            </c:strRef>
          </c:cat>
          <c:val>
            <c:numRef>
              <c:f>PT_Project_Overview!$B$94:$B$97</c:f>
              <c:numCache>
                <c:formatCode>General</c:formatCode>
                <c:ptCount val="3"/>
                <c:pt idx="0">
                  <c:v>2</c:v>
                </c:pt>
                <c:pt idx="1">
                  <c:v>11</c:v>
                </c:pt>
                <c:pt idx="2">
                  <c:v>7</c:v>
                </c:pt>
              </c:numCache>
            </c:numRef>
          </c:val>
          <c:extLst>
            <c:ext xmlns:c16="http://schemas.microsoft.com/office/drawing/2014/chart" uri="{C3380CC4-5D6E-409C-BE32-E72D297353CC}">
              <c16:uniqueId val="{00000006-229C-432E-BDE2-2A6C3BCDF4C9}"/>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[Construction_Project_Controls _Analysis.xlsx]PT_Project_Overview!PivotTable2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Latest</a:t>
            </a:r>
            <a:r>
              <a:rPr lang="en-US" baseline="0"/>
              <a:t> Recorded Schedule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chemeClr val="accent1"/>
          </a:solidFill>
          <a:ln>
            <a:noFill/>
          </a:ln>
          <a:effectLst/>
        </c:spPr>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pivotFmt>
      <c:pivotFmt>
        <c:idx val="7"/>
        <c:spPr>
          <a:solidFill>
            <a:schemeClr val="accent1"/>
          </a:solidFill>
          <a:ln>
            <a:noFill/>
          </a:ln>
          <a:effectLst/>
        </c:spPr>
      </c:pivotFmt>
    </c:pivotFmts>
    <c:plotArea>
      <c:layout/>
      <c:barChart>
        <c:barDir val="bar"/>
        <c:grouping val="clustered"/>
        <c:varyColors val="1"/>
        <c:ser>
          <c:idx val="0"/>
          <c:order val="0"/>
          <c:tx>
            <c:strRef>
              <c:f>PT_Project_Overview!$B$103</c:f>
              <c:strCache>
                <c:ptCount val="1"/>
                <c:pt idx="0">
                  <c:v>Total</c:v>
                </c:pt>
              </c:strCache>
            </c:strRef>
          </c:tx>
          <c:spPr>
            <a:solidFill>
              <a:schemeClr val="accent3"/>
            </a:solidFill>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1-186A-4C70-BAAC-82D2C0C4FCF8}"/>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186A-4C70-BAAC-82D2C0C4FC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PT_Project_Overview!$A$104:$A$106</c:f>
              <c:strCache>
                <c:ptCount val="2"/>
                <c:pt idx="0">
                  <c:v>Ahead of Schedule</c:v>
                </c:pt>
                <c:pt idx="1">
                  <c:v>Behind Schedule</c:v>
                </c:pt>
              </c:strCache>
            </c:strRef>
          </c:cat>
          <c:val>
            <c:numRef>
              <c:f>PT_Project_Overview!$B$104:$B$106</c:f>
              <c:numCache>
                <c:formatCode>General</c:formatCode>
                <c:ptCount val="2"/>
                <c:pt idx="0">
                  <c:v>6</c:v>
                </c:pt>
                <c:pt idx="1">
                  <c:v>14</c:v>
                </c:pt>
              </c:numCache>
            </c:numRef>
          </c:val>
          <c:extLst>
            <c:ext xmlns:c16="http://schemas.microsoft.com/office/drawing/2014/chart" uri="{C3380CC4-5D6E-409C-BE32-E72D297353CC}">
              <c16:uniqueId val="{00000004-186A-4C70-BAAC-82D2C0C4FCF8}"/>
            </c:ext>
          </c:extLst>
        </c:ser>
        <c:dLbls>
          <c:showLegendKey val="0"/>
          <c:showVal val="0"/>
          <c:showCatName val="0"/>
          <c:showSerName val="0"/>
          <c:showPercent val="0"/>
          <c:showBubbleSize val="0"/>
        </c:dLbls>
        <c:gapWidth val="182"/>
        <c:axId val="1857098800"/>
        <c:axId val="206342256"/>
      </c:barChart>
      <c:catAx>
        <c:axId val="1857098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42256"/>
        <c:crosses val="autoZero"/>
        <c:auto val="1"/>
        <c:lblAlgn val="ctr"/>
        <c:lblOffset val="100"/>
        <c:noMultiLvlLbl val="0"/>
      </c:catAx>
      <c:valAx>
        <c:axId val="206342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09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[Construction_Project_Controls _Analysis.xlsx]PT_Project_Overview!PivotTable3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Expected</a:t>
            </a:r>
            <a:r>
              <a:rPr lang="en-US" baseline="0"/>
              <a:t> Project Status - Latest Recorded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a:solidFill>
              <a:schemeClr val="bg1">
                <a:lumMod val="75000"/>
              </a:schemeClr>
            </a:solidFill>
          </a:ln>
          <a:effectLst/>
        </c:spPr>
      </c:pivotFmt>
      <c:pivotFmt>
        <c:idx val="2"/>
        <c:spPr>
          <a:solidFill>
            <a:srgbClr val="FFC000"/>
          </a:solidFill>
          <a:ln>
            <a:noFill/>
          </a:ln>
          <a:effectLst/>
        </c:spPr>
      </c:pivotFmt>
      <c:pivotFmt>
        <c:idx val="3"/>
        <c:spPr>
          <a:solidFill>
            <a:srgbClr val="92D05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pivotFmt>
      <c:pivotFmt>
        <c:idx val="6"/>
        <c:spPr>
          <a:solidFill>
            <a:srgbClr val="FFC000"/>
          </a:solidFill>
          <a:ln>
            <a:noFill/>
          </a:ln>
          <a:effectLst/>
        </c:spPr>
      </c:pivotFmt>
      <c:pivotFmt>
        <c:idx val="7"/>
        <c:spPr>
          <a:solidFill>
            <a:schemeClr val="bg1">
              <a:lumMod val="65000"/>
            </a:schemeClr>
          </a:solidFill>
          <a:ln>
            <a:solidFill>
              <a:schemeClr val="bg1">
                <a:lumMod val="75000"/>
              </a:schemeClr>
            </a:solid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a:noFill/>
          </a:ln>
          <a:effectLst/>
        </c:spPr>
      </c:pivotFmt>
      <c:pivotFmt>
        <c:idx val="10"/>
        <c:spPr>
          <a:solidFill>
            <a:srgbClr val="FFC000"/>
          </a:solidFill>
          <a:ln>
            <a:noFill/>
          </a:ln>
          <a:effectLst/>
        </c:spPr>
      </c:pivotFmt>
      <c:pivotFmt>
        <c:idx val="11"/>
        <c:spPr>
          <a:solidFill>
            <a:schemeClr val="bg1">
              <a:lumMod val="65000"/>
            </a:schemeClr>
          </a:solidFill>
          <a:ln>
            <a:solidFill>
              <a:schemeClr val="bg1">
                <a:lumMod val="75000"/>
              </a:schemeClr>
            </a:solidFill>
          </a:ln>
          <a:effectLst/>
        </c:spPr>
      </c:pivotFmt>
    </c:pivotFmts>
    <c:plotArea>
      <c:layout/>
      <c:barChart>
        <c:barDir val="bar"/>
        <c:grouping val="clustered"/>
        <c:varyColors val="0"/>
        <c:ser>
          <c:idx val="0"/>
          <c:order val="0"/>
          <c:tx>
            <c:strRef>
              <c:f>PT_Project_Overview!$B$112</c:f>
              <c:strCache>
                <c:ptCount val="1"/>
                <c:pt idx="0">
                  <c:v>Total</c:v>
                </c:pt>
              </c:strCache>
            </c:strRef>
          </c:tx>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1-234F-42FA-BEC1-101E9C109DB8}"/>
              </c:ext>
            </c:extLst>
          </c:dPt>
          <c:dPt>
            <c:idx val="2"/>
            <c:invertIfNegative val="0"/>
            <c:bubble3D val="0"/>
            <c:spPr>
              <a:solidFill>
                <a:srgbClr val="FFC000"/>
              </a:solidFill>
              <a:ln>
                <a:noFill/>
              </a:ln>
              <a:effectLst/>
            </c:spPr>
            <c:extLst>
              <c:ext xmlns:c16="http://schemas.microsoft.com/office/drawing/2014/chart" uri="{C3380CC4-5D6E-409C-BE32-E72D297353CC}">
                <c16:uniqueId val="{00000003-234F-42FA-BEC1-101E9C109DB8}"/>
              </c:ext>
            </c:extLst>
          </c:dPt>
          <c:dPt>
            <c:idx val="3"/>
            <c:invertIfNegative val="0"/>
            <c:bubble3D val="0"/>
            <c:spPr>
              <a:solidFill>
                <a:schemeClr val="bg1">
                  <a:lumMod val="65000"/>
                </a:schemeClr>
              </a:solidFill>
              <a:ln>
                <a:solidFill>
                  <a:schemeClr val="bg1">
                    <a:lumMod val="75000"/>
                  </a:schemeClr>
                </a:solidFill>
              </a:ln>
              <a:effectLst/>
            </c:spPr>
            <c:extLst>
              <c:ext xmlns:c16="http://schemas.microsoft.com/office/drawing/2014/chart" uri="{C3380CC4-5D6E-409C-BE32-E72D297353CC}">
                <c16:uniqueId val="{00000005-234F-42FA-BEC1-101E9C109D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PT_Project_Overview!$A$113:$A$117</c:f>
              <c:strCache>
                <c:ptCount val="4"/>
                <c:pt idx="0">
                  <c:v>Completed</c:v>
                </c:pt>
                <c:pt idx="1">
                  <c:v>In Progress</c:v>
                </c:pt>
                <c:pt idx="2">
                  <c:v>Planning</c:v>
                </c:pt>
                <c:pt idx="3">
                  <c:v>Unknown</c:v>
                </c:pt>
              </c:strCache>
            </c:strRef>
          </c:cat>
          <c:val>
            <c:numRef>
              <c:f>PT_Project_Overview!$B$113:$B$117</c:f>
              <c:numCache>
                <c:formatCode>General</c:formatCode>
                <c:ptCount val="4"/>
                <c:pt idx="0">
                  <c:v>6</c:v>
                </c:pt>
                <c:pt idx="1">
                  <c:v>9</c:v>
                </c:pt>
                <c:pt idx="2">
                  <c:v>4</c:v>
                </c:pt>
                <c:pt idx="3">
                  <c:v>1</c:v>
                </c:pt>
              </c:numCache>
            </c:numRef>
          </c:val>
          <c:extLst>
            <c:ext xmlns:c16="http://schemas.microsoft.com/office/drawing/2014/chart" uri="{C3380CC4-5D6E-409C-BE32-E72D297353CC}">
              <c16:uniqueId val="{00000006-234F-42FA-BEC1-101E9C109DB8}"/>
            </c:ext>
          </c:extLst>
        </c:ser>
        <c:dLbls>
          <c:dLblPos val="outEnd"/>
          <c:showLegendKey val="0"/>
          <c:showVal val="1"/>
          <c:showCatName val="0"/>
          <c:showSerName val="0"/>
          <c:showPercent val="0"/>
          <c:showBubbleSize val="0"/>
        </c:dLbls>
        <c:gapWidth val="182"/>
        <c:axId val="1915012592"/>
        <c:axId val="612092176"/>
      </c:barChart>
      <c:catAx>
        <c:axId val="1915012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092176"/>
        <c:crosses val="autoZero"/>
        <c:auto val="1"/>
        <c:lblAlgn val="ctr"/>
        <c:lblOffset val="100"/>
        <c:noMultiLvlLbl val="0"/>
      </c:catAx>
      <c:valAx>
        <c:axId val="612092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01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[Construction_Project_Controls _Analysis.xlsx]PT_Project_Overview!PivotTable5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a:t>
            </a:r>
            <a:r>
              <a:rPr lang="en-US" baseline="0"/>
              <a:t> Status Check - Latest Recorded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a:noFill/>
          </a:ln>
          <a:effectLst/>
        </c:spPr>
      </c:pivotFmt>
      <c:pivotFmt>
        <c:idx val="2"/>
        <c:spPr>
          <a:solidFill>
            <a:schemeClr val="accent6"/>
          </a:solidFill>
          <a:ln>
            <a:noFill/>
          </a:ln>
          <a:effectLst/>
        </c:spPr>
      </c:pivotFmt>
      <c:pivotFmt>
        <c:idx val="3"/>
        <c:spPr>
          <a:solidFill>
            <a:srgbClr val="92D050"/>
          </a:solidFill>
          <a:ln>
            <a:noFill/>
          </a:ln>
          <a:effectLst/>
        </c:spPr>
      </c:pivotFmt>
      <c:pivotFmt>
        <c:idx val="4"/>
        <c:spPr>
          <a:solidFill>
            <a:srgbClr val="FF0000"/>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pivotFmt>
      <c:pivotFmt>
        <c:idx val="7"/>
        <c:spPr>
          <a:solidFill>
            <a:srgbClr val="92D050"/>
          </a:solidFill>
          <a:ln>
            <a:noFill/>
          </a:ln>
          <a:effectLst/>
        </c:spPr>
      </c:pivotFmt>
      <c:pivotFmt>
        <c:idx val="8"/>
        <c:spPr>
          <a:solidFill>
            <a:schemeClr val="accent6"/>
          </a:solidFill>
          <a:ln>
            <a:noFill/>
          </a:ln>
          <a:effectLst/>
        </c:spPr>
      </c:pivotFmt>
      <c:pivotFmt>
        <c:idx val="9"/>
        <c:spPr>
          <a:solidFill>
            <a:schemeClr val="bg1">
              <a:lumMod val="65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c:spPr>
      </c:pivotFmt>
      <c:pivotFmt>
        <c:idx val="12"/>
        <c:spPr>
          <a:solidFill>
            <a:srgbClr val="92D050"/>
          </a:solidFill>
          <a:ln>
            <a:noFill/>
          </a:ln>
          <a:effectLst/>
        </c:spPr>
      </c:pivotFmt>
      <c:pivotFmt>
        <c:idx val="13"/>
        <c:spPr>
          <a:solidFill>
            <a:srgbClr val="FFFF00"/>
          </a:solidFill>
          <a:ln>
            <a:noFill/>
          </a:ln>
          <a:effectLst/>
        </c:spPr>
      </c:pivotFmt>
      <c:pivotFmt>
        <c:idx val="14"/>
        <c:spPr>
          <a:solidFill>
            <a:schemeClr val="bg1">
              <a:lumMod val="65000"/>
            </a:schemeClr>
          </a:solidFill>
          <a:ln>
            <a:noFill/>
          </a:ln>
          <a:effectLst/>
        </c:spPr>
      </c:pivotFmt>
    </c:pivotFmts>
    <c:plotArea>
      <c:layout/>
      <c:barChart>
        <c:barDir val="col"/>
        <c:grouping val="clustered"/>
        <c:varyColors val="0"/>
        <c:ser>
          <c:idx val="0"/>
          <c:order val="0"/>
          <c:tx>
            <c:strRef>
              <c:f>PT_Project_Overview!$B$123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699A-4F14-8133-16D47D0A557C}"/>
              </c:ext>
            </c:extLst>
          </c:dPt>
          <c:dPt>
            <c:idx val="1"/>
            <c:invertIfNegative val="0"/>
            <c:bubble3D val="0"/>
            <c:spPr>
              <a:solidFill>
                <a:srgbClr val="92D050"/>
              </a:solidFill>
              <a:ln>
                <a:noFill/>
              </a:ln>
              <a:effectLst/>
            </c:spPr>
            <c:extLst>
              <c:ext xmlns:c16="http://schemas.microsoft.com/office/drawing/2014/chart" uri="{C3380CC4-5D6E-409C-BE32-E72D297353CC}">
                <c16:uniqueId val="{00000003-699A-4F14-8133-16D47D0A557C}"/>
              </c:ext>
            </c:extLst>
          </c:dPt>
          <c:dPt>
            <c:idx val="2"/>
            <c:invertIfNegative val="0"/>
            <c:bubble3D val="0"/>
            <c:spPr>
              <a:solidFill>
                <a:srgbClr val="FFFF00"/>
              </a:solidFill>
              <a:ln>
                <a:noFill/>
              </a:ln>
              <a:effectLst/>
            </c:spPr>
            <c:extLst>
              <c:ext xmlns:c16="http://schemas.microsoft.com/office/drawing/2014/chart" uri="{C3380CC4-5D6E-409C-BE32-E72D297353CC}">
                <c16:uniqueId val="{00000005-699A-4F14-8133-16D47D0A557C}"/>
              </c:ext>
            </c:extLst>
          </c:dPt>
          <c:dPt>
            <c:idx val="3"/>
            <c:invertIfNegative val="0"/>
            <c:bubble3D val="0"/>
            <c:spPr>
              <a:solidFill>
                <a:schemeClr val="bg1">
                  <a:lumMod val="65000"/>
                </a:schemeClr>
              </a:solidFill>
              <a:ln>
                <a:noFill/>
              </a:ln>
              <a:effectLst/>
            </c:spPr>
            <c:extLst>
              <c:ext xmlns:c16="http://schemas.microsoft.com/office/drawing/2014/chart" uri="{C3380CC4-5D6E-409C-BE32-E72D297353CC}">
                <c16:uniqueId val="{00000007-699A-4F14-8133-16D47D0A55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PT_Project_Overview!$A$124:$A$128</c:f>
              <c:strCache>
                <c:ptCount val="4"/>
                <c:pt idx="0">
                  <c:v>Mismatch</c:v>
                </c:pt>
                <c:pt idx="1">
                  <c:v>OK</c:v>
                </c:pt>
                <c:pt idx="2">
                  <c:v>Review</c:v>
                </c:pt>
                <c:pt idx="3">
                  <c:v>Unknown</c:v>
                </c:pt>
              </c:strCache>
            </c:strRef>
          </c:cat>
          <c:val>
            <c:numRef>
              <c:f>PT_Project_Overview!$B$124:$B$128</c:f>
              <c:numCache>
                <c:formatCode>General</c:formatCode>
                <c:ptCount val="4"/>
                <c:pt idx="0">
                  <c:v>7</c:v>
                </c:pt>
                <c:pt idx="1">
                  <c:v>5</c:v>
                </c:pt>
                <c:pt idx="2">
                  <c:v>7</c:v>
                </c:pt>
                <c:pt idx="3">
                  <c:v>1</c:v>
                </c:pt>
              </c:numCache>
            </c:numRef>
          </c:val>
          <c:extLst>
            <c:ext xmlns:c16="http://schemas.microsoft.com/office/drawing/2014/chart" uri="{C3380CC4-5D6E-409C-BE32-E72D297353CC}">
              <c16:uniqueId val="{00000008-699A-4F14-8133-16D47D0A557C}"/>
            </c:ext>
          </c:extLst>
        </c:ser>
        <c:dLbls>
          <c:showLegendKey val="0"/>
          <c:showVal val="0"/>
          <c:showCatName val="0"/>
          <c:showSerName val="0"/>
          <c:showPercent val="0"/>
          <c:showBubbleSize val="0"/>
        </c:dLbls>
        <c:gapWidth val="219"/>
        <c:overlap val="-27"/>
        <c:axId val="644594496"/>
        <c:axId val="611996656"/>
      </c:barChart>
      <c:catAx>
        <c:axId val="64459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996656"/>
        <c:crosses val="autoZero"/>
        <c:auto val="1"/>
        <c:lblAlgn val="ctr"/>
        <c:lblOffset val="100"/>
        <c:noMultiLvlLbl val="0"/>
      </c:catAx>
      <c:valAx>
        <c:axId val="611996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594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76199</xdr:rowOff>
    </xdr:from>
    <xdr:to>
      <xdr:col>13</xdr:col>
      <xdr:colOff>809626</xdr:colOff>
      <xdr:row>5</xdr:row>
      <xdr:rowOff>38099</xdr:rowOff>
    </xdr:to>
    <xdr:sp macro="" textlink="">
      <xdr:nvSpPr>
        <xdr:cNvPr id="2" name="Rectangle: Rounded Corners 1">
          <a:extLst>
            <a:ext uri="{FF2B5EF4-FFF2-40B4-BE49-F238E27FC236}">
              <a16:creationId xmlns:a16="http://schemas.microsoft.com/office/drawing/2014/main" id="{1C385A12-04E7-4BC0-AC90-C7A22B5ED184}"/>
            </a:ext>
          </a:extLst>
        </xdr:cNvPr>
        <xdr:cNvSpPr/>
      </xdr:nvSpPr>
      <xdr:spPr>
        <a:xfrm>
          <a:off x="114300" y="76199"/>
          <a:ext cx="8620126" cy="914400"/>
        </a:xfrm>
        <a:prstGeom prst="roundRect">
          <a:avLst/>
        </a:prstGeom>
        <a:solidFill>
          <a:schemeClr val="tx2">
            <a:lumMod val="50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2000"/>
            <a:t>CONSTRUCTION PROJECT CONTROLS &amp; PERFORMANCE DASHBOARD</a:t>
          </a:r>
        </a:p>
        <a:p>
          <a:pPr algn="ctr"/>
          <a:r>
            <a:rPr lang="en-US" sz="1100"/>
            <a:t>Latest Recorded</a:t>
          </a:r>
          <a:r>
            <a:rPr lang="en-US" sz="1100" baseline="0"/>
            <a:t> Project Position | Budget, Schedule &amp; Status Quality</a:t>
          </a:r>
          <a:endParaRPr lang="en-US" sz="1100"/>
        </a:p>
      </xdr:txBody>
    </xdr:sp>
    <xdr:clientData/>
  </xdr:twoCellAnchor>
  <xdr:twoCellAnchor>
    <xdr:from>
      <xdr:col>0</xdr:col>
      <xdr:colOff>114300</xdr:colOff>
      <xdr:row>5</xdr:row>
      <xdr:rowOff>66673</xdr:rowOff>
    </xdr:from>
    <xdr:to>
      <xdr:col>3</xdr:col>
      <xdr:colOff>180975</xdr:colOff>
      <xdr:row>10</xdr:row>
      <xdr:rowOff>9524</xdr:rowOff>
    </xdr:to>
    <xdr:sp macro="" textlink="">
      <xdr:nvSpPr>
        <xdr:cNvPr id="3" name="Rectangle: Rounded Corners 2">
          <a:extLst>
            <a:ext uri="{FF2B5EF4-FFF2-40B4-BE49-F238E27FC236}">
              <a16:creationId xmlns:a16="http://schemas.microsoft.com/office/drawing/2014/main" id="{8FC03CC2-CD71-4E98-8EC2-794A4CF84715}"/>
            </a:ext>
          </a:extLst>
        </xdr:cNvPr>
        <xdr:cNvSpPr/>
      </xdr:nvSpPr>
      <xdr:spPr>
        <a:xfrm>
          <a:off x="114300" y="1019173"/>
          <a:ext cx="1895475" cy="895351"/>
        </a:xfrm>
        <a:prstGeom prst="roundRect">
          <a:avLst/>
        </a:prstGeom>
        <a:solidFill>
          <a:schemeClr val="accent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a:solidFill>
                <a:schemeClr val="bg1"/>
              </a:solidFill>
              <a:latin typeface="+mn-lt"/>
              <a:ea typeface="+mn-ea"/>
              <a:cs typeface="+mn-cs"/>
            </a:rPr>
            <a:t>Total</a:t>
          </a:r>
          <a:r>
            <a:rPr lang="en-US" sz="1400" baseline="0">
              <a:solidFill>
                <a:schemeClr val="bg1"/>
              </a:solidFill>
              <a:latin typeface="+mn-lt"/>
              <a:ea typeface="+mn-ea"/>
              <a:cs typeface="+mn-cs"/>
            </a:rPr>
            <a:t> Projects</a:t>
          </a:r>
        </a:p>
        <a:p>
          <a:pPr marL="0" indent="0" algn="ctr"/>
          <a:r>
            <a:rPr lang="en-US" sz="1100" b="0" i="0" u="none" strike="noStrike">
              <a:solidFill>
                <a:schemeClr val="lt1"/>
              </a:solidFill>
              <a:effectLst/>
              <a:latin typeface="+mn-lt"/>
              <a:ea typeface="+mn-ea"/>
              <a:cs typeface="+mn-cs"/>
            </a:rPr>
            <a:t>20</a:t>
          </a:r>
          <a:r>
            <a:rPr lang="en-US" sz="1400">
              <a:effectLst/>
            </a:rPr>
            <a:t> </a:t>
          </a:r>
        </a:p>
        <a:p>
          <a:pPr marL="0" indent="0" algn="ctr"/>
          <a:r>
            <a:rPr lang="en-US" sz="1100">
              <a:solidFill>
                <a:schemeClr val="bg1"/>
              </a:solidFill>
              <a:latin typeface="+mn-lt"/>
              <a:ea typeface="+mn-ea"/>
              <a:cs typeface="+mn-cs"/>
            </a:rPr>
            <a:t>latest</a:t>
          </a:r>
          <a:r>
            <a:rPr lang="en-US" sz="1100" baseline="0">
              <a:solidFill>
                <a:schemeClr val="bg1"/>
              </a:solidFill>
              <a:latin typeface="+mn-lt"/>
              <a:ea typeface="+mn-ea"/>
              <a:cs typeface="+mn-cs"/>
            </a:rPr>
            <a:t> recorded project position</a:t>
          </a:r>
          <a:endParaRPr lang="en-US" sz="1100">
            <a:solidFill>
              <a:schemeClr val="bg1"/>
            </a:solidFill>
            <a:latin typeface="+mn-lt"/>
            <a:ea typeface="+mn-ea"/>
            <a:cs typeface="+mn-cs"/>
          </a:endParaRPr>
        </a:p>
      </xdr:txBody>
    </xdr:sp>
    <xdr:clientData/>
  </xdr:twoCellAnchor>
  <xdr:twoCellAnchor>
    <xdr:from>
      <xdr:col>3</xdr:col>
      <xdr:colOff>295275</xdr:colOff>
      <xdr:row>5</xdr:row>
      <xdr:rowOff>95250</xdr:rowOff>
    </xdr:from>
    <xdr:to>
      <xdr:col>6</xdr:col>
      <xdr:colOff>523875</xdr:colOff>
      <xdr:row>10</xdr:row>
      <xdr:rowOff>19050</xdr:rowOff>
    </xdr:to>
    <xdr:sp macro="" textlink="">
      <xdr:nvSpPr>
        <xdr:cNvPr id="4" name="Rectangle: Rounded Corners 3">
          <a:extLst>
            <a:ext uri="{FF2B5EF4-FFF2-40B4-BE49-F238E27FC236}">
              <a16:creationId xmlns:a16="http://schemas.microsoft.com/office/drawing/2014/main" id="{A8B2B16F-0B94-446D-B96D-B463C7D313AB}"/>
            </a:ext>
          </a:extLst>
        </xdr:cNvPr>
        <xdr:cNvSpPr/>
      </xdr:nvSpPr>
      <xdr:spPr>
        <a:xfrm>
          <a:off x="2124075" y="1047750"/>
          <a:ext cx="2057400" cy="876300"/>
        </a:xfrm>
        <a:prstGeom prst="roundRect">
          <a:avLst/>
        </a:prstGeom>
        <a:solidFill>
          <a:schemeClr val="accent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a:solidFill>
                <a:schemeClr val="bg1"/>
              </a:solidFill>
              <a:latin typeface="+mn-lt"/>
              <a:ea typeface="+mn-ea"/>
              <a:cs typeface="+mn-cs"/>
            </a:rPr>
            <a:t>Over</a:t>
          </a:r>
          <a:r>
            <a:rPr lang="en-US" sz="1400" baseline="0">
              <a:solidFill>
                <a:schemeClr val="bg1"/>
              </a:solidFill>
              <a:latin typeface="+mn-lt"/>
              <a:ea typeface="+mn-ea"/>
              <a:cs typeface="+mn-cs"/>
            </a:rPr>
            <a:t> Budget</a:t>
          </a:r>
        </a:p>
        <a:p>
          <a:pPr marL="0" indent="0" algn="ctr"/>
          <a:r>
            <a:rPr lang="en-US" sz="1100" b="0" i="0" u="none" strike="noStrike">
              <a:solidFill>
                <a:schemeClr val="bg1"/>
              </a:solidFill>
              <a:effectLst/>
              <a:latin typeface="+mn-lt"/>
              <a:ea typeface="+mn-ea"/>
              <a:cs typeface="+mn-cs"/>
            </a:rPr>
            <a:t>55%</a:t>
          </a:r>
          <a:endParaRPr lang="en-US" sz="1400">
            <a:solidFill>
              <a:schemeClr val="bg1"/>
            </a:solidFill>
            <a:effectLst/>
          </a:endParaRPr>
        </a:p>
        <a:p>
          <a:pPr marL="0" indent="0" algn="ctr"/>
          <a:r>
            <a:rPr lang="en-US" sz="1100">
              <a:solidFill>
                <a:schemeClr val="bg1"/>
              </a:solidFill>
              <a:effectLst/>
              <a:latin typeface="+mn-lt"/>
              <a:ea typeface="+mn-ea"/>
              <a:cs typeface="+mn-cs"/>
            </a:rPr>
            <a:t>11 of 20 latest recorded projects</a:t>
          </a:r>
          <a:endParaRPr lang="en-US" sz="1100">
            <a:solidFill>
              <a:schemeClr val="bg1"/>
            </a:solidFill>
            <a:latin typeface="+mn-lt"/>
            <a:ea typeface="+mn-ea"/>
            <a:cs typeface="+mn-cs"/>
          </a:endParaRPr>
        </a:p>
      </xdr:txBody>
    </xdr:sp>
    <xdr:clientData/>
  </xdr:twoCellAnchor>
  <xdr:twoCellAnchor>
    <xdr:from>
      <xdr:col>7</xdr:col>
      <xdr:colOff>28575</xdr:colOff>
      <xdr:row>5</xdr:row>
      <xdr:rowOff>85725</xdr:rowOff>
    </xdr:from>
    <xdr:to>
      <xdr:col>10</xdr:col>
      <xdr:colOff>247650</xdr:colOff>
      <xdr:row>10</xdr:row>
      <xdr:rowOff>9525</xdr:rowOff>
    </xdr:to>
    <xdr:sp macro="" textlink="">
      <xdr:nvSpPr>
        <xdr:cNvPr id="5" name="Rectangle: Rounded Corners 4">
          <a:extLst>
            <a:ext uri="{FF2B5EF4-FFF2-40B4-BE49-F238E27FC236}">
              <a16:creationId xmlns:a16="http://schemas.microsoft.com/office/drawing/2014/main" id="{58B52A73-DD4D-477B-94FB-04682F55A990}"/>
            </a:ext>
          </a:extLst>
        </xdr:cNvPr>
        <xdr:cNvSpPr/>
      </xdr:nvSpPr>
      <xdr:spPr>
        <a:xfrm>
          <a:off x="4295775" y="1038225"/>
          <a:ext cx="2047875" cy="876300"/>
        </a:xfrm>
        <a:prstGeom prst="roundRect">
          <a:avLst/>
        </a:prstGeom>
        <a:solidFill>
          <a:schemeClr val="accent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a:solidFill>
                <a:schemeClr val="bg1"/>
              </a:solidFill>
              <a:latin typeface="+mn-lt"/>
              <a:ea typeface="+mn-ea"/>
              <a:cs typeface="+mn-cs"/>
            </a:rPr>
            <a:t>Behind Schedule</a:t>
          </a:r>
        </a:p>
        <a:p>
          <a:pPr marL="0" indent="0" algn="ctr"/>
          <a:r>
            <a:rPr lang="en-US" sz="1100" b="0" i="0" u="none" strike="noStrike">
              <a:solidFill>
                <a:schemeClr val="lt1"/>
              </a:solidFill>
              <a:effectLst/>
              <a:latin typeface="+mn-lt"/>
              <a:ea typeface="+mn-ea"/>
              <a:cs typeface="+mn-cs"/>
            </a:rPr>
            <a:t>70%</a:t>
          </a:r>
          <a:r>
            <a:rPr lang="en-US" sz="1400">
              <a:effectLst/>
            </a:rPr>
            <a:t> </a:t>
          </a:r>
        </a:p>
        <a:p>
          <a:pPr marL="0" indent="0" algn="ctr"/>
          <a:r>
            <a:rPr lang="en-US" sz="1100">
              <a:solidFill>
                <a:schemeClr val="bg1"/>
              </a:solidFill>
              <a:effectLst/>
              <a:latin typeface="+mn-lt"/>
              <a:ea typeface="+mn-ea"/>
              <a:cs typeface="+mn-cs"/>
            </a:rPr>
            <a:t>14 of 20 latest recorded projects</a:t>
          </a:r>
          <a:endParaRPr lang="en-US" sz="1100">
            <a:solidFill>
              <a:schemeClr val="bg1"/>
            </a:solidFill>
            <a:latin typeface="+mn-lt"/>
            <a:ea typeface="+mn-ea"/>
            <a:cs typeface="+mn-cs"/>
          </a:endParaRPr>
        </a:p>
      </xdr:txBody>
    </xdr:sp>
    <xdr:clientData/>
  </xdr:twoCellAnchor>
  <xdr:twoCellAnchor>
    <xdr:from>
      <xdr:col>10</xdr:col>
      <xdr:colOff>361950</xdr:colOff>
      <xdr:row>5</xdr:row>
      <xdr:rowOff>85725</xdr:rowOff>
    </xdr:from>
    <xdr:to>
      <xdr:col>13</xdr:col>
      <xdr:colOff>800100</xdr:colOff>
      <xdr:row>9</xdr:row>
      <xdr:rowOff>152400</xdr:rowOff>
    </xdr:to>
    <xdr:sp macro="" textlink="">
      <xdr:nvSpPr>
        <xdr:cNvPr id="6" name="Rectangle: Rounded Corners 5">
          <a:extLst>
            <a:ext uri="{FF2B5EF4-FFF2-40B4-BE49-F238E27FC236}">
              <a16:creationId xmlns:a16="http://schemas.microsoft.com/office/drawing/2014/main" id="{F6783E0B-FBCE-43F9-BBDE-3E64A72969F2}"/>
            </a:ext>
          </a:extLst>
        </xdr:cNvPr>
        <xdr:cNvSpPr/>
      </xdr:nvSpPr>
      <xdr:spPr>
        <a:xfrm>
          <a:off x="6457950" y="1038225"/>
          <a:ext cx="2266950" cy="828675"/>
        </a:xfrm>
        <a:prstGeom prst="roundRect">
          <a:avLst/>
        </a:prstGeom>
        <a:solidFill>
          <a:schemeClr val="accent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a:solidFill>
                <a:schemeClr val="bg1"/>
              </a:solidFill>
              <a:latin typeface="+mn-lt"/>
              <a:ea typeface="+mn-ea"/>
              <a:cs typeface="+mn-cs"/>
            </a:rPr>
            <a:t>Review</a:t>
          </a:r>
          <a:r>
            <a:rPr lang="en-US" sz="1400" baseline="0">
              <a:solidFill>
                <a:schemeClr val="bg1"/>
              </a:solidFill>
              <a:latin typeface="+mn-lt"/>
              <a:ea typeface="+mn-ea"/>
              <a:cs typeface="+mn-cs"/>
            </a:rPr>
            <a:t>/Mismatch</a:t>
          </a:r>
        </a:p>
        <a:p>
          <a:pPr marL="0" indent="0" algn="ctr"/>
          <a:r>
            <a:rPr lang="en-US" sz="1100" b="0" i="0" u="none" strike="noStrike">
              <a:solidFill>
                <a:schemeClr val="lt1"/>
              </a:solidFill>
              <a:effectLst/>
              <a:latin typeface="+mn-lt"/>
              <a:ea typeface="+mn-ea"/>
              <a:cs typeface="+mn-cs"/>
            </a:rPr>
            <a:t>70%</a:t>
          </a:r>
          <a:r>
            <a:rPr lang="en-US" sz="1400">
              <a:effectLst/>
            </a:rPr>
            <a:t>  </a:t>
          </a:r>
        </a:p>
        <a:p>
          <a:pPr marL="0" indent="0" algn="ctr"/>
          <a:r>
            <a:rPr lang="en-US" sz="1100">
              <a:solidFill>
                <a:schemeClr val="bg1"/>
              </a:solidFill>
              <a:effectLst/>
              <a:latin typeface="+mn-lt"/>
              <a:ea typeface="+mn-ea"/>
              <a:cs typeface="+mn-cs"/>
            </a:rPr>
            <a:t>14 of 20 latest recorded projects</a:t>
          </a:r>
          <a:endParaRPr lang="en-US" sz="1100">
            <a:solidFill>
              <a:schemeClr val="bg1"/>
            </a:solidFill>
            <a:latin typeface="+mn-lt"/>
            <a:ea typeface="+mn-ea"/>
            <a:cs typeface="+mn-cs"/>
          </a:endParaRPr>
        </a:p>
      </xdr:txBody>
    </xdr:sp>
    <xdr:clientData/>
  </xdr:twoCellAnchor>
  <xdr:twoCellAnchor>
    <xdr:from>
      <xdr:col>0</xdr:col>
      <xdr:colOff>104774</xdr:colOff>
      <xdr:row>10</xdr:row>
      <xdr:rowOff>152399</xdr:rowOff>
    </xdr:from>
    <xdr:to>
      <xdr:col>6</xdr:col>
      <xdr:colOff>504825</xdr:colOff>
      <xdr:row>25</xdr:row>
      <xdr:rowOff>85724</xdr:rowOff>
    </xdr:to>
    <xdr:graphicFrame macro="">
      <xdr:nvGraphicFramePr>
        <xdr:cNvPr id="11" name="Chart 10">
          <a:extLst>
            <a:ext uri="{FF2B5EF4-FFF2-40B4-BE49-F238E27FC236}">
              <a16:creationId xmlns:a16="http://schemas.microsoft.com/office/drawing/2014/main" id="{300F84F6-C119-403F-B76E-7AD6BC468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11</xdr:row>
      <xdr:rowOff>0</xdr:rowOff>
    </xdr:from>
    <xdr:to>
      <xdr:col>14</xdr:col>
      <xdr:colOff>47625</xdr:colOff>
      <xdr:row>25</xdr:row>
      <xdr:rowOff>76200</xdr:rowOff>
    </xdr:to>
    <xdr:graphicFrame macro="">
      <xdr:nvGraphicFramePr>
        <xdr:cNvPr id="13" name="Chart 12">
          <a:extLst>
            <a:ext uri="{FF2B5EF4-FFF2-40B4-BE49-F238E27FC236}">
              <a16:creationId xmlns:a16="http://schemas.microsoft.com/office/drawing/2014/main" id="{8D3CB85A-3B67-40F5-8585-2178056116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133350</xdr:colOff>
      <xdr:row>26</xdr:row>
      <xdr:rowOff>9525</xdr:rowOff>
    </xdr:from>
    <xdr:to>
      <xdr:col>6</xdr:col>
      <xdr:colOff>485775</xdr:colOff>
      <xdr:row>40</xdr:row>
      <xdr:rowOff>85725</xdr:rowOff>
    </xdr:to>
    <xdr:graphicFrame macro="">
      <xdr:nvGraphicFramePr>
        <xdr:cNvPr id="7" name="Chart 6">
          <a:extLst>
            <a:ext uri="{FF2B5EF4-FFF2-40B4-BE49-F238E27FC236}">
              <a16:creationId xmlns:a16="http://schemas.microsoft.com/office/drawing/2014/main" id="{6DF881EE-EBDE-4DD2-ABF1-2C141C96D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26</xdr:row>
      <xdr:rowOff>0</xdr:rowOff>
    </xdr:from>
    <xdr:to>
      <xdr:col>14</xdr:col>
      <xdr:colOff>47625</xdr:colOff>
      <xdr:row>40</xdr:row>
      <xdr:rowOff>76200</xdr:rowOff>
    </xdr:to>
    <xdr:graphicFrame macro="">
      <xdr:nvGraphicFramePr>
        <xdr:cNvPr id="8" name="Chart 7">
          <a:extLst>
            <a:ext uri="{FF2B5EF4-FFF2-40B4-BE49-F238E27FC236}">
              <a16:creationId xmlns:a16="http://schemas.microsoft.com/office/drawing/2014/main" id="{84AC13DB-EA2A-4081-8184-106865C44A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Book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1">
          <cell r="A1" t="str">
            <v>Column</v>
          </cell>
          <cell r="B1" t="str">
            <v>Meaning</v>
          </cell>
          <cell r="C1" t="str">
            <v>Expected_Format</v>
          </cell>
          <cell r="D1" t="str">
            <v>Cleaning_Notes</v>
          </cell>
        </row>
        <row r="2">
          <cell r="A2" t="str">
            <v>Record_ID</v>
          </cell>
          <cell r="B2" t="str">
            <v>Unique row identifier</v>
          </cell>
          <cell r="C2" t="str">
            <v>Text</v>
          </cell>
          <cell r="D2" t="str">
            <v>Should be unique; check duplicates.</v>
          </cell>
        </row>
        <row r="3">
          <cell r="A3" t="str">
            <v>Project_ID</v>
          </cell>
          <cell r="B3" t="str">
            <v>Project reference; may repeat across work records</v>
          </cell>
          <cell r="C3" t="str">
            <v>Text</v>
          </cell>
          <cell r="D3" t="str">
            <v>Standardize format; repeated IDs are expected.</v>
          </cell>
        </row>
        <row r="4">
          <cell r="A4" t="str">
            <v>Project_Name</v>
          </cell>
          <cell r="B4" t="str">
            <v>Project/site project label</v>
          </cell>
          <cell r="C4" t="str">
            <v>Text</v>
          </cell>
          <cell r="D4" t="str">
            <v>Check spelling and inconsistent naming.</v>
          </cell>
        </row>
        <row r="5">
          <cell r="A5" t="str">
            <v>Site_Location</v>
          </cell>
          <cell r="B5" t="str">
            <v>City/site location</v>
          </cell>
          <cell r="C5" t="str">
            <v>Text</v>
          </cell>
          <cell r="D5" t="str">
            <v>Standardize values (e.g., Cape Town, Johannesburg).</v>
          </cell>
        </row>
        <row r="6">
          <cell r="A6" t="str">
            <v>Project_Type</v>
          </cell>
          <cell r="B6" t="str">
            <v>Construction work category</v>
          </cell>
          <cell r="C6" t="str">
            <v>Text</v>
          </cell>
          <cell r="D6" t="str">
            <v>Standardize categories (e.g., Roadworks, Infrastructure).</v>
          </cell>
        </row>
        <row r="7">
          <cell r="A7" t="str">
            <v>Project_Manager</v>
          </cell>
          <cell r="B7" t="str">
            <v>Responsible project manager</v>
          </cell>
          <cell r="C7" t="str">
            <v>Text</v>
          </cell>
          <cell r="D7" t="str">
            <v>Identify blanks and decide whether to label Unknown.</v>
          </cell>
        </row>
        <row r="8">
          <cell r="A8" t="str">
            <v>Main_Contractor</v>
          </cell>
          <cell r="B8" t="str">
            <v>Primary contractor</v>
          </cell>
          <cell r="C8" t="str">
            <v>Text</v>
          </cell>
          <cell r="D8" t="str">
            <v>Standardize contractor names.</v>
          </cell>
        </row>
        <row r="9">
          <cell r="A9" t="str">
            <v>Material_Category</v>
          </cell>
          <cell r="B9" t="str">
            <v>Primary material category</v>
          </cell>
          <cell r="C9" t="str">
            <v>Text</v>
          </cell>
          <cell r="D9" t="str">
            <v>Categorical field for analysis.</v>
          </cell>
        </row>
        <row r="10">
          <cell r="A10" t="str">
            <v>Start_Date</v>
          </cell>
          <cell r="B10" t="str">
            <v>Project start date</v>
          </cell>
          <cell r="C10" t="str">
            <v>Date/text mixed</v>
          </cell>
          <cell r="D10" t="str">
            <v>Normalize to a consistent date format.</v>
          </cell>
        </row>
        <row r="11">
          <cell r="A11" t="str">
            <v>Planned_Duration_Days</v>
          </cell>
          <cell r="B11" t="str">
            <v>Planned project duration</v>
          </cell>
          <cell r="C11" t="str">
            <v>Number/text mixed</v>
          </cell>
          <cell r="D11" t="str">
            <v>Convert to numeric; validate positive values.</v>
          </cell>
        </row>
        <row r="12">
          <cell r="A12" t="str">
            <v>Actual_Duration_Days</v>
          </cell>
          <cell r="B12" t="str">
            <v>Actual project duration</v>
          </cell>
          <cell r="C12" t="str">
            <v>Number/text mixed</v>
          </cell>
          <cell r="D12" t="str">
            <v>Convert to numeric; compare with plan.</v>
          </cell>
        </row>
        <row r="13">
          <cell r="A13" t="str">
            <v>Budget_ZAR</v>
          </cell>
          <cell r="B13" t="str">
            <v>Approved budget in South African rand</v>
          </cell>
          <cell r="C13" t="str">
            <v>Currency/blank</v>
          </cell>
          <cell r="D13" t="str">
            <v>Handle missing values; don't assume zero.</v>
          </cell>
        </row>
        <row r="14">
          <cell r="A14" t="str">
            <v>Actual_Cost_ZAR</v>
          </cell>
          <cell r="B14" t="str">
            <v>Recorded actual cost in rand</v>
          </cell>
          <cell r="C14" t="str">
            <v>Currency/blank</v>
          </cell>
          <cell r="D14" t="str">
            <v>Handle missing values; compare with budget.</v>
          </cell>
        </row>
        <row r="15">
          <cell r="A15" t="str">
            <v>Progress_Percent</v>
          </cell>
          <cell r="B15" t="str">
            <v>Completion progress</v>
          </cell>
          <cell r="C15" t="str">
            <v>Percent/text mixed</v>
          </cell>
          <cell r="D15" t="str">
            <v>Normalize to numeric percentage from 0 to 100.</v>
          </cell>
        </row>
        <row r="16">
          <cell r="A16" t="str">
            <v>Project_Status</v>
          </cell>
          <cell r="B16" t="str">
            <v>Current status</v>
          </cell>
          <cell r="C16" t="str">
            <v>Text inconsistent</v>
          </cell>
          <cell r="D16" t="str">
            <v>Standardize Planning, In Progress, Completed, On Hold.</v>
          </cell>
        </row>
        <row r="17">
          <cell r="A17" t="str">
            <v>Last_Updated</v>
          </cell>
          <cell r="B17" t="str">
            <v>Date of latest status update</v>
          </cell>
          <cell r="C17" t="str">
            <v>Date/blank</v>
          </cell>
          <cell r="D17" t="str">
            <v>Normalize dates and inspect missing values.</v>
          </cell>
        </row>
      </sheetData>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onia Patience Munedzimwe" refreshedDate="46308.932800115741" backgroundQuery="1" createdVersion="8" refreshedVersion="8" minRefreshableVersion="3" recordCount="0" supportSubquery="1" supportAdvancedDrill="1" xr:uid="{9FEB8274-3FFE-45D9-AD82-5F183F76D526}">
  <cacheSource type="external" connectionId="1"/>
  <cacheFields count="3">
    <cacheField name="[Table1].[Project_Status_Check].[Project_Status_Check]" caption="Project_Status_Check" numFmtId="0" hierarchy="19" level="1">
      <sharedItems count="4">
        <s v="Mismatch"/>
        <s v="OK"/>
        <s v="Review"/>
        <s v="Unknown"/>
      </sharedItems>
    </cacheField>
    <cacheField name="[Table1].[Latest_Record_Flag].[Latest_Record_Flag]" caption="Latest_Record_Flag" numFmtId="0" hierarchy="28" level="1">
      <sharedItems containsSemiMixedTypes="0" containsNonDate="0" containsString="0"/>
    </cacheField>
    <cacheField name="[Measures].[Count of Project_ID]" caption="Count of Project_ID" numFmtId="0" hierarchy="35" level="32767"/>
  </cacheFields>
  <cacheHierarchies count="48">
    <cacheHierarchy uniqueName="[Table1].[Record_ID]" caption="Record_ID" attribute="1" defaultMemberUniqueName="[Table1].[Record_ID].[All]" allUniqueName="[Table1].[Record_ID].[All]" dimensionUniqueName="[Table1]" displayFolder="" count="0" memberValueDatatype="130" unbalanced="0"/>
    <cacheHierarchy uniqueName="[Table1].[Project_ID]" caption="Project_ID" attribute="1" defaultMemberUniqueName="[Table1].[Project_ID].[All]" allUniqueName="[Table1].[Project_ID].[All]" dimensionUniqueName="[Table1]" displayFolder="" count="0" memberValueDatatype="130" unbalanced="0"/>
    <cacheHierarchy uniqueName="[Table1].[Project_Name]" caption="Project_Name" attribute="1" defaultMemberUniqueName="[Table1].[Project_Name].[All]" allUniqueName="[Table1].[Project_Name].[All]" dimensionUniqueName="[Table1]" displayFolder="" count="0" memberValueDatatype="130" unbalanced="0"/>
    <cacheHierarchy uniqueName="[Table1].[Site_Location]" caption="Site_Location" attribute="1" defaultMemberUniqueName="[Table1].[Site_Location].[All]" allUniqueName="[Table1].[Site_Location].[All]" dimensionUniqueName="[Table1]" displayFolder="" count="0" memberValueDatatype="130" unbalanced="0"/>
    <cacheHierarchy uniqueName="[Table1].[Project_Type]" caption="Project_Type" attribute="1" defaultMemberUniqueName="[Table1].[Project_Type].[All]" allUniqueName="[Table1].[Project_Type].[All]" dimensionUniqueName="[Table1]" displayFolder="" count="0" memberValueDatatype="130" unbalanced="0"/>
    <cacheHierarchy uniqueName="[Table1].[Project_Manager]" caption="Project_Manager" attribute="1" defaultMemberUniqueName="[Table1].[Project_Manager].[All]" allUniqueName="[Table1].[Project_Manager].[All]" dimensionUniqueName="[Table1]" displayFolder="" count="0" memberValueDatatype="130" unbalanced="0"/>
    <cacheHierarchy uniqueName="[Table1].[Main_Contractor]" caption="Main_Contractor" attribute="1" defaultMemberUniqueName="[Table1].[Main_Contractor].[All]" allUniqueName="[Table1].[Main_Contractor].[All]" dimensionUniqueName="[Table1]" displayFolder="" count="0" memberValueDatatype="130" unbalanced="0"/>
    <cacheHierarchy uniqueName="[Table1].[Material_Category]" caption="Material_Category" attribute="1" defaultMemberUniqueName="[Table1].[Material_Category].[All]" allUniqueName="[Table1].[Material_Category].[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Planned_Duration_Days]" caption="Planned_Duration_Days" attribute="1" defaultMemberUniqueName="[Table1].[Planned_Duration_Days].[All]" allUniqueName="[Table1].[Planned_Duration_Days].[All]" dimensionUniqueName="[Table1]" displayFolder="" count="0" memberValueDatatype="20" unbalanced="0"/>
    <cacheHierarchy uniqueName="[Table1].[Actual_Duration_Days]" caption="Actual_Duration_Days" attribute="1" defaultMemberUniqueName="[Table1].[Actual_Duration_Days].[All]" allUniqueName="[Table1].[Actual_Duration_Days].[All]" dimensionUniqueName="[Table1]" displayFolder="" count="0" memberValueDatatype="20" unbalanced="0"/>
    <cacheHierarchy uniqueName="[Table1].[Budget_ZAR]" caption="Budget_ZAR" attribute="1" defaultMemberUniqueName="[Table1].[Budget_ZAR].[All]" allUniqueName="[Table1].[Budget_ZAR].[All]" dimensionUniqueName="[Table1]" displayFolder="" count="0" memberValueDatatype="5" unbalanced="0"/>
    <cacheHierarchy uniqueName="[Table1].[Budget_Missing]" caption="Budget_Missing" attribute="1" defaultMemberUniqueName="[Table1].[Budget_Missing].[All]" allUniqueName="[Table1].[Budget_Missing].[All]" dimensionUniqueName="[Table1]" displayFolder="" count="0" memberValueDatatype="130" unbalanced="0"/>
    <cacheHierarchy uniqueName="[Table1].[Actual_Cost_ZAR]" caption="Actual_Cost_ZAR" attribute="1" defaultMemberUniqueName="[Table1].[Actual_Cost_ZAR].[All]" allUniqueName="[Table1].[Actual_Cost_ZAR].[All]" dimensionUniqueName="[Table1]" displayFolder="" count="0" memberValueDatatype="5" unbalanced="0"/>
    <cacheHierarchy uniqueName="[Table1].[Actual_Missing]" caption="Actual_Missing" attribute="1" defaultMemberUniqueName="[Table1].[Actual_Missing].[All]" allUniqueName="[Table1].[Actual_Missing].[All]" dimensionUniqueName="[Table1]" displayFolder="" count="0" memberValueDatatype="130" unbalanced="0"/>
    <cacheHierarchy uniqueName="[Table1].[Cost_Data _Flag]" caption="Cost_Data _Flag" attribute="1" defaultMemberUniqueName="[Table1].[Cost_Data _Flag].[All]" allUniqueName="[Table1].[Cost_Data _Flag].[All]" dimensionUniqueName="[Table1]" displayFolder="" count="0" memberValueDatatype="130" unbalanced="0"/>
    <cacheHierarchy uniqueName="[Table1].[Progress_Percent]" caption="Progress_Percent" attribute="1" defaultMemberUniqueName="[Table1].[Progress_Percent].[All]" allUniqueName="[Table1].[Progress_Percent].[All]" dimensionUniqueName="[Table1]" displayFolder="" count="0" memberValueDatatype="130" unbalanced="0"/>
    <cacheHierarchy uniqueName="[Table1].[Project_Status]" caption="Project_Status" attribute="1" defaultMemberUniqueName="[Table1].[Project_Status].[All]" allUniqueName="[Table1].[Project_Status].[All]" dimensionUniqueName="[Table1]" displayFolder="" count="0" memberValueDatatype="130" unbalanced="0"/>
    <cacheHierarchy uniqueName="[Table1].[Project_Expected_Status]" caption="Project_Expected_Status" attribute="1" defaultMemberUniqueName="[Table1].[Project_Expected_Status].[All]" allUniqueName="[Table1].[Project_Expected_Status].[All]" dimensionUniqueName="[Table1]" displayFolder="" count="0" memberValueDatatype="130" unbalanced="0"/>
    <cacheHierarchy uniqueName="[Table1].[Project_Status_Check]" caption="Project_Status_Check" attribute="1" defaultMemberUniqueName="[Table1].[Project_Status_Check].[All]" allUniqueName="[Table1].[Project_Status_Check].[All]" dimensionUniqueName="[Table1]" displayFolder="" count="2" memberValueDatatype="130" unbalanced="0">
      <fieldsUsage count="2">
        <fieldUsage x="-1"/>
        <fieldUsage x="0"/>
      </fieldsUsage>
    </cacheHierarchy>
    <cacheHierarchy uniqueName="[Table1].[Last_Updated]" caption="Last_Updated" attribute="1" time="1" defaultMemberUniqueName="[Table1].[Last_Updated].[All]" allUniqueName="[Table1].[Last_Updated].[All]" dimensionUniqueName="[Table1]" displayFolder="" count="0" memberValueDatatype="7" unbalanced="0"/>
    <cacheHierarchy uniqueName="[Table1].[Schedule_Variance]" caption="Schedule_Variance" attribute="1" defaultMemberUniqueName="[Table1].[Schedule_Variance].[All]" allUniqueName="[Table1].[Schedule_Variance].[All]" dimensionUniqueName="[Table1]" displayFolder="" count="0" memberValueDatatype="20" unbalanced="0"/>
    <cacheHierarchy uniqueName="[Table1].[Schedule_Status]" caption="Schedule_Status" attribute="1" defaultMemberUniqueName="[Table1].[Schedule_Status].[All]" allUniqueName="[Table1].[Schedule_Status].[All]" dimensionUniqueName="[Table1]" displayFolder="" count="0" memberValueDatatype="130" unbalanced="0"/>
    <cacheHierarchy uniqueName="[Table1].[Cost_Variance]" caption="Cost_Variance" attribute="1" defaultMemberUniqueName="[Table1].[Cost_Variance].[All]" allUniqueName="[Table1].[Cost_Variance].[All]" dimensionUniqueName="[Table1]" displayFolder="" count="0" memberValueDatatype="130" unbalanced="0"/>
    <cacheHierarchy uniqueName="[Table1].[Cost_Variance_Percentage]" caption="Cost_Variance_Percentage" attribute="1" defaultMemberUniqueName="[Table1].[Cost_Variance_Percentage].[All]" allUniqueName="[Table1].[Cost_Variance_Percentage].[All]" dimensionUniqueName="[Table1]" displayFolder="" count="0" memberValueDatatype="130" unbalanced="0"/>
    <cacheHierarchy uniqueName="[Table1].[Budget_Status]" caption="Budget_Status" attribute="1" defaultMemberUniqueName="[Table1].[Budget_Status].[All]" allUniqueName="[Table1].[Budget_Status].[All]" dimensionUniqueName="[Table1]" displayFolder="" count="0" memberValueDatatype="130" unbalanced="0"/>
    <cacheHierarchy uniqueName="[Table1].[Cost_Variance_Pivot]" caption="Cost_Variance_Pivot" attribute="1" defaultMemberUniqueName="[Table1].[Cost_Variance_Pivot].[All]" allUniqueName="[Table1].[Cost_Variance_Pivot].[All]" dimensionUniqueName="[Table1]" displayFolder="" count="0" memberValueDatatype="5" unbalanced="0"/>
    <cacheHierarchy uniqueName="[Table1].[Cost_Variance_Percentage_Pivot]" caption="Cost_Variance_Percentage_Pivot" attribute="1" defaultMemberUniqueName="[Table1].[Cost_Variance_Percentage_Pivot].[All]" allUniqueName="[Table1].[Cost_Variance_Percentage_Pivot].[All]" dimensionUniqueName="[Table1]" displayFolder="" count="0" memberValueDatatype="5" unbalanced="0"/>
    <cacheHierarchy uniqueName="[Table1].[Latest_Record_Flag]" caption="Latest_Record_Flag" attribute="1" defaultMemberUniqueName="[Table1].[Latest_Record_Flag].[All]" allUniqueName="[Table1].[Latest_Record_Flag].[All]" dimensionUniqueName="[Table1]" displayFolder="" count="2" memberValueDatatype="130" unbalanced="0">
      <fieldsUsage count="2">
        <fieldUsage x="-1"/>
        <fieldUsage x="1"/>
      </fieldsUsage>
    </cacheHierarchy>
    <cacheHierarchy uniqueName="[Table1].[Valid_Date_Count]" caption="Valid_Date_Count" attribute="1" defaultMemberUniqueName="[Table1].[Valid_Date_Count].[All]" allUniqueName="[Table1].[Valid_Date_Count].[All]" dimensionUniqueName="[Table1]" displayFolder="" count="0" memberValueDatatype="20" unbalanced="0"/>
    <cacheHierarchy uniqueName="[Table1].[Latest_Count]" caption="Latest_Count" attribute="1" defaultMemberUniqueName="[Table1].[Latest_Count].[All]" allUniqueName="[Table1].[Latest_Count].[All]" dimensionUniqueName="[Table1]" displayFolder="" count="0" memberValueDatatype="20" unbalanced="0"/>
    <cacheHierarchy uniqueName="[Table1].[Record_Review_Flag]" caption="Record_Review_Flag" attribute="1" defaultMemberUniqueName="[Table1].[Record_Review_Flag].[All]" allUniqueName="[Table1].[Record_Review_Flag].[All]" dimensionUniqueName="[Table1]" displayFolder="" count="0" memberValueDatatype="130" unbalanced="0"/>
    <cacheHierarchy uniqueName="[Table1].[Latest_Record_Check]" caption="Latest_Record_Check" attribute="1" defaultMemberUniqueName="[Table1].[Latest_Record_Check].[All]" allUniqueName="[Table1].[Latest_Record_Check].[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roject_ID]" caption="Count of Project_ID"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Distinct Count of Project_ID]" caption="Distinct Count of Project_ID" measure="1" displayFolder="" measureGroup="Table1" count="0" hidden="1">
      <extLst>
        <ext xmlns:x15="http://schemas.microsoft.com/office/spreadsheetml/2010/11/main" uri="{B97F6D7D-B522-45F9-BDA1-12C45D357490}">
          <x15:cacheHierarchy aggregatedColumn="1"/>
        </ext>
      </extLst>
    </cacheHierarchy>
    <cacheHierarchy uniqueName="[Measures].[Sum of Schedule_Variance]" caption="Sum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Average of Schedule_Variance]" caption="Average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Count of Schedule_Variance]" caption="Count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Sum of Budget_ZAR]" caption="Sum of Budget_ZAR" measure="1" displayFolder="" measureGroup="Table1" count="0" hidden="1">
      <extLst>
        <ext xmlns:x15="http://schemas.microsoft.com/office/spreadsheetml/2010/11/main" uri="{B97F6D7D-B522-45F9-BDA1-12C45D357490}">
          <x15:cacheHierarchy aggregatedColumn="11"/>
        </ext>
      </extLst>
    </cacheHierarchy>
    <cacheHierarchy uniqueName="[Measures].[Sum of Actual_Cost_ZAR]" caption="Sum of Actual_Cost_ZAR" measure="1" displayFolder="" measureGroup="Table1" count="0" hidden="1">
      <extLst>
        <ext xmlns:x15="http://schemas.microsoft.com/office/spreadsheetml/2010/11/main" uri="{B97F6D7D-B522-45F9-BDA1-12C45D357490}">
          <x15:cacheHierarchy aggregatedColumn="13"/>
        </ext>
      </extLst>
    </cacheHierarchy>
    <cacheHierarchy uniqueName="[Measures].[Count of Cost_Variance]" caption="Count of Cost_Variance" measure="1" displayFolder="" measureGroup="Table1" count="0" hidden="1">
      <extLst>
        <ext xmlns:x15="http://schemas.microsoft.com/office/spreadsheetml/2010/11/main" uri="{B97F6D7D-B522-45F9-BDA1-12C45D357490}">
          <x15:cacheHierarchy aggregatedColumn="23"/>
        </ext>
      </extLst>
    </cacheHierarchy>
    <cacheHierarchy uniqueName="[Measures].[Count of Cost_Variance_Percentage]" caption="Count of Cost_Variance_Percentage" measure="1" displayFolder="" measureGroup="Table1" count="0" hidden="1">
      <extLst>
        <ext xmlns:x15="http://schemas.microsoft.com/office/spreadsheetml/2010/11/main" uri="{B97F6D7D-B522-45F9-BDA1-12C45D357490}">
          <x15:cacheHierarchy aggregatedColumn="24"/>
        </ext>
      </extLst>
    </cacheHierarchy>
    <cacheHierarchy uniqueName="[Measures].[Sum of Cost_Variance_Pivot]" caption="Sum of Cost_Variance_Pivot" measure="1" displayFolder="" measureGroup="Table1" count="0" hidden="1">
      <extLst>
        <ext xmlns:x15="http://schemas.microsoft.com/office/spreadsheetml/2010/11/main" uri="{B97F6D7D-B522-45F9-BDA1-12C45D357490}">
          <x15:cacheHierarchy aggregatedColumn="26"/>
        </ext>
      </extLst>
    </cacheHierarchy>
    <cacheHierarchy uniqueName="[Measures].[Sum of Cost_Variance_Percentage_Pivot]" caption="Sum of Cost_Variance_Percentage_Pivot" measure="1" displayFolder="" measureGroup="Table1" count="0" hidden="1">
      <extLst>
        <ext xmlns:x15="http://schemas.microsoft.com/office/spreadsheetml/2010/11/main" uri="{B97F6D7D-B522-45F9-BDA1-12C45D357490}">
          <x15:cacheHierarchy aggregatedColumn="27"/>
        </ext>
      </extLst>
    </cacheHierarchy>
    <cacheHierarchy uniqueName="[Measures].[Average of Cost_Variance_Percentage_Pivot]" caption="Average of Cost_Variance_Percentage_Pivot" measure="1" displayFolder="" measureGroup="Table1" count="0" hidden="1">
      <extLst>
        <ext xmlns:x15="http://schemas.microsoft.com/office/spreadsheetml/2010/11/main" uri="{B97F6D7D-B522-45F9-BDA1-12C45D357490}">
          <x15:cacheHierarchy aggregatedColumn="27"/>
        </ext>
      </extLst>
    </cacheHierarchy>
    <cacheHierarchy uniqueName="[Measures].[Average of Cost_Variance_Pivot]" caption="Average of Cost_Variance_Pivot" measure="1" displayFolder="" measureGroup="Table1"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onia Patience Munedzimwe" refreshedDate="46308.93280347222" backgroundQuery="1" createdVersion="8" refreshedVersion="8" minRefreshableVersion="3" recordCount="0" supportSubquery="1" supportAdvancedDrill="1" xr:uid="{FB84A26F-0738-4FAD-A361-B62B4D127969}">
  <cacheSource type="external" connectionId="1"/>
  <cacheFields count="3">
    <cacheField name="[Table1].[Budget_Status].[Budget_Status]" caption="Budget_Status" numFmtId="0" hierarchy="25" level="1">
      <sharedItems count="3">
        <s v="Missing Data"/>
        <s v="Over Budget"/>
        <s v="Under Budget"/>
      </sharedItems>
    </cacheField>
    <cacheField name="[Measures].[Distinct Count of Project_ID]" caption="Distinct Count of Project_ID" numFmtId="0" hierarchy="36" level="32767"/>
    <cacheField name="[Table1].[Latest_Record_Flag].[Latest_Record_Flag]" caption="Latest_Record_Flag" numFmtId="0" hierarchy="28" level="1">
      <sharedItems containsSemiMixedTypes="0" containsNonDate="0" containsString="0"/>
    </cacheField>
  </cacheFields>
  <cacheHierarchies count="48">
    <cacheHierarchy uniqueName="[Table1].[Record_ID]" caption="Record_ID" attribute="1" defaultMemberUniqueName="[Table1].[Record_ID].[All]" allUniqueName="[Table1].[Record_ID].[All]" dimensionUniqueName="[Table1]" displayFolder="" count="0" memberValueDatatype="130" unbalanced="0"/>
    <cacheHierarchy uniqueName="[Table1].[Project_ID]" caption="Project_ID" attribute="1" defaultMemberUniqueName="[Table1].[Project_ID].[All]" allUniqueName="[Table1].[Project_ID].[All]" dimensionUniqueName="[Table1]" displayFolder="" count="0" memberValueDatatype="130" unbalanced="0"/>
    <cacheHierarchy uniqueName="[Table1].[Project_Name]" caption="Project_Name" attribute="1" defaultMemberUniqueName="[Table1].[Project_Name].[All]" allUniqueName="[Table1].[Project_Name].[All]" dimensionUniqueName="[Table1]" displayFolder="" count="0" memberValueDatatype="130" unbalanced="0"/>
    <cacheHierarchy uniqueName="[Table1].[Site_Location]" caption="Site_Location" attribute="1" defaultMemberUniqueName="[Table1].[Site_Location].[All]" allUniqueName="[Table1].[Site_Location].[All]" dimensionUniqueName="[Table1]" displayFolder="" count="0" memberValueDatatype="130" unbalanced="0"/>
    <cacheHierarchy uniqueName="[Table1].[Project_Type]" caption="Project_Type" attribute="1" defaultMemberUniqueName="[Table1].[Project_Type].[All]" allUniqueName="[Table1].[Project_Type].[All]" dimensionUniqueName="[Table1]" displayFolder="" count="0" memberValueDatatype="130" unbalanced="0"/>
    <cacheHierarchy uniqueName="[Table1].[Project_Manager]" caption="Project_Manager" attribute="1" defaultMemberUniqueName="[Table1].[Project_Manager].[All]" allUniqueName="[Table1].[Project_Manager].[All]" dimensionUniqueName="[Table1]" displayFolder="" count="0" memberValueDatatype="130" unbalanced="0"/>
    <cacheHierarchy uniqueName="[Table1].[Main_Contractor]" caption="Main_Contractor" attribute="1" defaultMemberUniqueName="[Table1].[Main_Contractor].[All]" allUniqueName="[Table1].[Main_Contractor].[All]" dimensionUniqueName="[Table1]" displayFolder="" count="0" memberValueDatatype="130" unbalanced="0"/>
    <cacheHierarchy uniqueName="[Table1].[Material_Category]" caption="Material_Category" attribute="1" defaultMemberUniqueName="[Table1].[Material_Category].[All]" allUniqueName="[Table1].[Material_Category].[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Planned_Duration_Days]" caption="Planned_Duration_Days" attribute="1" defaultMemberUniqueName="[Table1].[Planned_Duration_Days].[All]" allUniqueName="[Table1].[Planned_Duration_Days].[All]" dimensionUniqueName="[Table1]" displayFolder="" count="0" memberValueDatatype="20" unbalanced="0"/>
    <cacheHierarchy uniqueName="[Table1].[Actual_Duration_Days]" caption="Actual_Duration_Days" attribute="1" defaultMemberUniqueName="[Table1].[Actual_Duration_Days].[All]" allUniqueName="[Table1].[Actual_Duration_Days].[All]" dimensionUniqueName="[Table1]" displayFolder="" count="0" memberValueDatatype="20" unbalanced="0"/>
    <cacheHierarchy uniqueName="[Table1].[Budget_ZAR]" caption="Budget_ZAR" attribute="1" defaultMemberUniqueName="[Table1].[Budget_ZAR].[All]" allUniqueName="[Table1].[Budget_ZAR].[All]" dimensionUniqueName="[Table1]" displayFolder="" count="0" memberValueDatatype="5" unbalanced="0"/>
    <cacheHierarchy uniqueName="[Table1].[Budget_Missing]" caption="Budget_Missing" attribute="1" defaultMemberUniqueName="[Table1].[Budget_Missing].[All]" allUniqueName="[Table1].[Budget_Missing].[All]" dimensionUniqueName="[Table1]" displayFolder="" count="0" memberValueDatatype="130" unbalanced="0"/>
    <cacheHierarchy uniqueName="[Table1].[Actual_Cost_ZAR]" caption="Actual_Cost_ZAR" attribute="1" defaultMemberUniqueName="[Table1].[Actual_Cost_ZAR].[All]" allUniqueName="[Table1].[Actual_Cost_ZAR].[All]" dimensionUniqueName="[Table1]" displayFolder="" count="0" memberValueDatatype="5" unbalanced="0"/>
    <cacheHierarchy uniqueName="[Table1].[Actual_Missing]" caption="Actual_Missing" attribute="1" defaultMemberUniqueName="[Table1].[Actual_Missing].[All]" allUniqueName="[Table1].[Actual_Missing].[All]" dimensionUniqueName="[Table1]" displayFolder="" count="0" memberValueDatatype="130" unbalanced="0"/>
    <cacheHierarchy uniqueName="[Table1].[Cost_Data _Flag]" caption="Cost_Data _Flag" attribute="1" defaultMemberUniqueName="[Table1].[Cost_Data _Flag].[All]" allUniqueName="[Table1].[Cost_Data _Flag].[All]" dimensionUniqueName="[Table1]" displayFolder="" count="0" memberValueDatatype="130" unbalanced="0"/>
    <cacheHierarchy uniqueName="[Table1].[Progress_Percent]" caption="Progress_Percent" attribute="1" defaultMemberUniqueName="[Table1].[Progress_Percent].[All]" allUniqueName="[Table1].[Progress_Percent].[All]" dimensionUniqueName="[Table1]" displayFolder="" count="0" memberValueDatatype="130" unbalanced="0"/>
    <cacheHierarchy uniqueName="[Table1].[Project_Status]" caption="Project_Status" attribute="1" defaultMemberUniqueName="[Table1].[Project_Status].[All]" allUniqueName="[Table1].[Project_Status].[All]" dimensionUniqueName="[Table1]" displayFolder="" count="0" memberValueDatatype="130" unbalanced="0"/>
    <cacheHierarchy uniqueName="[Table1].[Project_Expected_Status]" caption="Project_Expected_Status" attribute="1" defaultMemberUniqueName="[Table1].[Project_Expected_Status].[All]" allUniqueName="[Table1].[Project_Expected_Status].[All]" dimensionUniqueName="[Table1]" displayFolder="" count="0" memberValueDatatype="130" unbalanced="0"/>
    <cacheHierarchy uniqueName="[Table1].[Project_Status_Check]" caption="Project_Status_Check" attribute="1" defaultMemberUniqueName="[Table1].[Project_Status_Check].[All]" allUniqueName="[Table1].[Project_Status_Check].[All]" dimensionUniqueName="[Table1]" displayFolder="" count="0" memberValueDatatype="130" unbalanced="0"/>
    <cacheHierarchy uniqueName="[Table1].[Last_Updated]" caption="Last_Updated" attribute="1" time="1" defaultMemberUniqueName="[Table1].[Last_Updated].[All]" allUniqueName="[Table1].[Last_Updated].[All]" dimensionUniqueName="[Table1]" displayFolder="" count="0" memberValueDatatype="7" unbalanced="0"/>
    <cacheHierarchy uniqueName="[Table1].[Schedule_Variance]" caption="Schedule_Variance" attribute="1" defaultMemberUniqueName="[Table1].[Schedule_Variance].[All]" allUniqueName="[Table1].[Schedule_Variance].[All]" dimensionUniqueName="[Table1]" displayFolder="" count="0" memberValueDatatype="20" unbalanced="0"/>
    <cacheHierarchy uniqueName="[Table1].[Schedule_Status]" caption="Schedule_Status" attribute="1" defaultMemberUniqueName="[Table1].[Schedule_Status].[All]" allUniqueName="[Table1].[Schedule_Status].[All]" dimensionUniqueName="[Table1]" displayFolder="" count="0" memberValueDatatype="130" unbalanced="0"/>
    <cacheHierarchy uniqueName="[Table1].[Cost_Variance]" caption="Cost_Variance" attribute="1" defaultMemberUniqueName="[Table1].[Cost_Variance].[All]" allUniqueName="[Table1].[Cost_Variance].[All]" dimensionUniqueName="[Table1]" displayFolder="" count="0" memberValueDatatype="130" unbalanced="0"/>
    <cacheHierarchy uniqueName="[Table1].[Cost_Variance_Percentage]" caption="Cost_Variance_Percentage" attribute="1" defaultMemberUniqueName="[Table1].[Cost_Variance_Percentage].[All]" allUniqueName="[Table1].[Cost_Variance_Percentage].[All]" dimensionUniqueName="[Table1]" displayFolder="" count="0" memberValueDatatype="130" unbalanced="0"/>
    <cacheHierarchy uniqueName="[Table1].[Budget_Status]" caption="Budget_Status" attribute="1" defaultMemberUniqueName="[Table1].[Budget_Status].[All]" allUniqueName="[Table1].[Budget_Status].[All]" dimensionUniqueName="[Table1]" displayFolder="" count="2" memberValueDatatype="130" unbalanced="0">
      <fieldsUsage count="2">
        <fieldUsage x="-1"/>
        <fieldUsage x="0"/>
      </fieldsUsage>
    </cacheHierarchy>
    <cacheHierarchy uniqueName="[Table1].[Cost_Variance_Pivot]" caption="Cost_Variance_Pivot" attribute="1" defaultMemberUniqueName="[Table1].[Cost_Variance_Pivot].[All]" allUniqueName="[Table1].[Cost_Variance_Pivot].[All]" dimensionUniqueName="[Table1]" displayFolder="" count="0" memberValueDatatype="5" unbalanced="0"/>
    <cacheHierarchy uniqueName="[Table1].[Cost_Variance_Percentage_Pivot]" caption="Cost_Variance_Percentage_Pivot" attribute="1" defaultMemberUniqueName="[Table1].[Cost_Variance_Percentage_Pivot].[All]" allUniqueName="[Table1].[Cost_Variance_Percentage_Pivot].[All]" dimensionUniqueName="[Table1]" displayFolder="" count="0" memberValueDatatype="5" unbalanced="0"/>
    <cacheHierarchy uniqueName="[Table1].[Latest_Record_Flag]" caption="Latest_Record_Flag" attribute="1" defaultMemberUniqueName="[Table1].[Latest_Record_Flag].[All]" allUniqueName="[Table1].[Latest_Record_Flag].[All]" dimensionUniqueName="[Table1]" displayFolder="" count="2" memberValueDatatype="130" unbalanced="0">
      <fieldsUsage count="2">
        <fieldUsage x="-1"/>
        <fieldUsage x="2"/>
      </fieldsUsage>
    </cacheHierarchy>
    <cacheHierarchy uniqueName="[Table1].[Valid_Date_Count]" caption="Valid_Date_Count" attribute="1" defaultMemberUniqueName="[Table1].[Valid_Date_Count].[All]" allUniqueName="[Table1].[Valid_Date_Count].[All]" dimensionUniqueName="[Table1]" displayFolder="" count="0" memberValueDatatype="20" unbalanced="0"/>
    <cacheHierarchy uniqueName="[Table1].[Latest_Count]" caption="Latest_Count" attribute="1" defaultMemberUniqueName="[Table1].[Latest_Count].[All]" allUniqueName="[Table1].[Latest_Count].[All]" dimensionUniqueName="[Table1]" displayFolder="" count="0" memberValueDatatype="20" unbalanced="0"/>
    <cacheHierarchy uniqueName="[Table1].[Record_Review_Flag]" caption="Record_Review_Flag" attribute="1" defaultMemberUniqueName="[Table1].[Record_Review_Flag].[All]" allUniqueName="[Table1].[Record_Review_Flag].[All]" dimensionUniqueName="[Table1]" displayFolder="" count="0" memberValueDatatype="130" unbalanced="0"/>
    <cacheHierarchy uniqueName="[Table1].[Latest_Record_Check]" caption="Latest_Record_Check" attribute="1" defaultMemberUniqueName="[Table1].[Latest_Record_Check].[All]" allUniqueName="[Table1].[Latest_Record_Check].[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roject_ID]" caption="Count of Project_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roject_ID]" caption="Distinct Count of Project_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Schedule_Variance]" caption="Sum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Average of Schedule_Variance]" caption="Average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Count of Schedule_Variance]" caption="Count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Sum of Budget_ZAR]" caption="Sum of Budget_ZAR" measure="1" displayFolder="" measureGroup="Table1" count="0" hidden="1">
      <extLst>
        <ext xmlns:x15="http://schemas.microsoft.com/office/spreadsheetml/2010/11/main" uri="{B97F6D7D-B522-45F9-BDA1-12C45D357490}">
          <x15:cacheHierarchy aggregatedColumn="11"/>
        </ext>
      </extLst>
    </cacheHierarchy>
    <cacheHierarchy uniqueName="[Measures].[Sum of Actual_Cost_ZAR]" caption="Sum of Actual_Cost_ZAR" measure="1" displayFolder="" measureGroup="Table1" count="0" hidden="1">
      <extLst>
        <ext xmlns:x15="http://schemas.microsoft.com/office/spreadsheetml/2010/11/main" uri="{B97F6D7D-B522-45F9-BDA1-12C45D357490}">
          <x15:cacheHierarchy aggregatedColumn="13"/>
        </ext>
      </extLst>
    </cacheHierarchy>
    <cacheHierarchy uniqueName="[Measures].[Count of Cost_Variance]" caption="Count of Cost_Variance" measure="1" displayFolder="" measureGroup="Table1" count="0" hidden="1">
      <extLst>
        <ext xmlns:x15="http://schemas.microsoft.com/office/spreadsheetml/2010/11/main" uri="{B97F6D7D-B522-45F9-BDA1-12C45D357490}">
          <x15:cacheHierarchy aggregatedColumn="23"/>
        </ext>
      </extLst>
    </cacheHierarchy>
    <cacheHierarchy uniqueName="[Measures].[Count of Cost_Variance_Percentage]" caption="Count of Cost_Variance_Percentage" measure="1" displayFolder="" measureGroup="Table1" count="0" hidden="1">
      <extLst>
        <ext xmlns:x15="http://schemas.microsoft.com/office/spreadsheetml/2010/11/main" uri="{B97F6D7D-B522-45F9-BDA1-12C45D357490}">
          <x15:cacheHierarchy aggregatedColumn="24"/>
        </ext>
      </extLst>
    </cacheHierarchy>
    <cacheHierarchy uniqueName="[Measures].[Sum of Cost_Variance_Pivot]" caption="Sum of Cost_Variance_Pivot" measure="1" displayFolder="" measureGroup="Table1" count="0" hidden="1">
      <extLst>
        <ext xmlns:x15="http://schemas.microsoft.com/office/spreadsheetml/2010/11/main" uri="{B97F6D7D-B522-45F9-BDA1-12C45D357490}">
          <x15:cacheHierarchy aggregatedColumn="26"/>
        </ext>
      </extLst>
    </cacheHierarchy>
    <cacheHierarchy uniqueName="[Measures].[Sum of Cost_Variance_Percentage_Pivot]" caption="Sum of Cost_Variance_Percentage_Pivot" measure="1" displayFolder="" measureGroup="Table1" count="0" hidden="1">
      <extLst>
        <ext xmlns:x15="http://schemas.microsoft.com/office/spreadsheetml/2010/11/main" uri="{B97F6D7D-B522-45F9-BDA1-12C45D357490}">
          <x15:cacheHierarchy aggregatedColumn="27"/>
        </ext>
      </extLst>
    </cacheHierarchy>
    <cacheHierarchy uniqueName="[Measures].[Average of Cost_Variance_Percentage_Pivot]" caption="Average of Cost_Variance_Percentage_Pivot" measure="1" displayFolder="" measureGroup="Table1" count="0" hidden="1">
      <extLst>
        <ext xmlns:x15="http://schemas.microsoft.com/office/spreadsheetml/2010/11/main" uri="{B97F6D7D-B522-45F9-BDA1-12C45D357490}">
          <x15:cacheHierarchy aggregatedColumn="27"/>
        </ext>
      </extLst>
    </cacheHierarchy>
    <cacheHierarchy uniqueName="[Measures].[Average of Cost_Variance_Pivot]" caption="Average of Cost_Variance_Pivot" measure="1" displayFolder="" measureGroup="Table1"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onia Patience Munedzimwe" refreshedDate="46308.932805555552" backgroundQuery="1" createdVersion="8" refreshedVersion="8" minRefreshableVersion="3" recordCount="0" supportSubquery="1" supportAdvancedDrill="1" xr:uid="{1B665431-35BF-497F-8561-9F8646CE17C1}">
  <cacheSource type="external" connectionId="1"/>
  <cacheFields count="3">
    <cacheField name="[Table1].[Schedule_Status].[Schedule_Status]" caption="Schedule_Status" numFmtId="0" hierarchy="22" level="1">
      <sharedItems count="2">
        <s v="Ahead of Schedule"/>
        <s v="Behind Schedule"/>
      </sharedItems>
    </cacheField>
    <cacheField name="[Measures].[Distinct Count of Project_ID]" caption="Distinct Count of Project_ID" numFmtId="0" hierarchy="36" level="32767"/>
    <cacheField name="[Table1].[Latest_Record_Flag].[Latest_Record_Flag]" caption="Latest_Record_Flag" numFmtId="0" hierarchy="28" level="1">
      <sharedItems containsSemiMixedTypes="0" containsNonDate="0" containsString="0"/>
    </cacheField>
  </cacheFields>
  <cacheHierarchies count="48">
    <cacheHierarchy uniqueName="[Table1].[Record_ID]" caption="Record_ID" attribute="1" defaultMemberUniqueName="[Table1].[Record_ID].[All]" allUniqueName="[Table1].[Record_ID].[All]" dimensionUniqueName="[Table1]" displayFolder="" count="0" memberValueDatatype="130" unbalanced="0"/>
    <cacheHierarchy uniqueName="[Table1].[Project_ID]" caption="Project_ID" attribute="1" defaultMemberUniqueName="[Table1].[Project_ID].[All]" allUniqueName="[Table1].[Project_ID].[All]" dimensionUniqueName="[Table1]" displayFolder="" count="0" memberValueDatatype="130" unbalanced="0"/>
    <cacheHierarchy uniqueName="[Table1].[Project_Name]" caption="Project_Name" attribute="1" defaultMemberUniqueName="[Table1].[Project_Name].[All]" allUniqueName="[Table1].[Project_Name].[All]" dimensionUniqueName="[Table1]" displayFolder="" count="0" memberValueDatatype="130" unbalanced="0"/>
    <cacheHierarchy uniqueName="[Table1].[Site_Location]" caption="Site_Location" attribute="1" defaultMemberUniqueName="[Table1].[Site_Location].[All]" allUniqueName="[Table1].[Site_Location].[All]" dimensionUniqueName="[Table1]" displayFolder="" count="0" memberValueDatatype="130" unbalanced="0"/>
    <cacheHierarchy uniqueName="[Table1].[Project_Type]" caption="Project_Type" attribute="1" defaultMemberUniqueName="[Table1].[Project_Type].[All]" allUniqueName="[Table1].[Project_Type].[All]" dimensionUniqueName="[Table1]" displayFolder="" count="0" memberValueDatatype="130" unbalanced="0"/>
    <cacheHierarchy uniqueName="[Table1].[Project_Manager]" caption="Project_Manager" attribute="1" defaultMemberUniqueName="[Table1].[Project_Manager].[All]" allUniqueName="[Table1].[Project_Manager].[All]" dimensionUniqueName="[Table1]" displayFolder="" count="0" memberValueDatatype="130" unbalanced="0"/>
    <cacheHierarchy uniqueName="[Table1].[Main_Contractor]" caption="Main_Contractor" attribute="1" defaultMemberUniqueName="[Table1].[Main_Contractor].[All]" allUniqueName="[Table1].[Main_Contractor].[All]" dimensionUniqueName="[Table1]" displayFolder="" count="0" memberValueDatatype="130" unbalanced="0"/>
    <cacheHierarchy uniqueName="[Table1].[Material_Category]" caption="Material_Category" attribute="1" defaultMemberUniqueName="[Table1].[Material_Category].[All]" allUniqueName="[Table1].[Material_Category].[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Planned_Duration_Days]" caption="Planned_Duration_Days" attribute="1" defaultMemberUniqueName="[Table1].[Planned_Duration_Days].[All]" allUniqueName="[Table1].[Planned_Duration_Days].[All]" dimensionUniqueName="[Table1]" displayFolder="" count="0" memberValueDatatype="20" unbalanced="0"/>
    <cacheHierarchy uniqueName="[Table1].[Actual_Duration_Days]" caption="Actual_Duration_Days" attribute="1" defaultMemberUniqueName="[Table1].[Actual_Duration_Days].[All]" allUniqueName="[Table1].[Actual_Duration_Days].[All]" dimensionUniqueName="[Table1]" displayFolder="" count="0" memberValueDatatype="20" unbalanced="0"/>
    <cacheHierarchy uniqueName="[Table1].[Budget_ZAR]" caption="Budget_ZAR" attribute="1" defaultMemberUniqueName="[Table1].[Budget_ZAR].[All]" allUniqueName="[Table1].[Budget_ZAR].[All]" dimensionUniqueName="[Table1]" displayFolder="" count="0" memberValueDatatype="5" unbalanced="0"/>
    <cacheHierarchy uniqueName="[Table1].[Budget_Missing]" caption="Budget_Missing" attribute="1" defaultMemberUniqueName="[Table1].[Budget_Missing].[All]" allUniqueName="[Table1].[Budget_Missing].[All]" dimensionUniqueName="[Table1]" displayFolder="" count="0" memberValueDatatype="130" unbalanced="0"/>
    <cacheHierarchy uniqueName="[Table1].[Actual_Cost_ZAR]" caption="Actual_Cost_ZAR" attribute="1" defaultMemberUniqueName="[Table1].[Actual_Cost_ZAR].[All]" allUniqueName="[Table1].[Actual_Cost_ZAR].[All]" dimensionUniqueName="[Table1]" displayFolder="" count="0" memberValueDatatype="5" unbalanced="0"/>
    <cacheHierarchy uniqueName="[Table1].[Actual_Missing]" caption="Actual_Missing" attribute="1" defaultMemberUniqueName="[Table1].[Actual_Missing].[All]" allUniqueName="[Table1].[Actual_Missing].[All]" dimensionUniqueName="[Table1]" displayFolder="" count="0" memberValueDatatype="130" unbalanced="0"/>
    <cacheHierarchy uniqueName="[Table1].[Cost_Data _Flag]" caption="Cost_Data _Flag" attribute="1" defaultMemberUniqueName="[Table1].[Cost_Data _Flag].[All]" allUniqueName="[Table1].[Cost_Data _Flag].[All]" dimensionUniqueName="[Table1]" displayFolder="" count="0" memberValueDatatype="130" unbalanced="0"/>
    <cacheHierarchy uniqueName="[Table1].[Progress_Percent]" caption="Progress_Percent" attribute="1" defaultMemberUniqueName="[Table1].[Progress_Percent].[All]" allUniqueName="[Table1].[Progress_Percent].[All]" dimensionUniqueName="[Table1]" displayFolder="" count="0" memberValueDatatype="130" unbalanced="0"/>
    <cacheHierarchy uniqueName="[Table1].[Project_Status]" caption="Project_Status" attribute="1" defaultMemberUniqueName="[Table1].[Project_Status].[All]" allUniqueName="[Table1].[Project_Status].[All]" dimensionUniqueName="[Table1]" displayFolder="" count="0" memberValueDatatype="130" unbalanced="0"/>
    <cacheHierarchy uniqueName="[Table1].[Project_Expected_Status]" caption="Project_Expected_Status" attribute="1" defaultMemberUniqueName="[Table1].[Project_Expected_Status].[All]" allUniqueName="[Table1].[Project_Expected_Status].[All]" dimensionUniqueName="[Table1]" displayFolder="" count="0" memberValueDatatype="130" unbalanced="0"/>
    <cacheHierarchy uniqueName="[Table1].[Project_Status_Check]" caption="Project_Status_Check" attribute="1" defaultMemberUniqueName="[Table1].[Project_Status_Check].[All]" allUniqueName="[Table1].[Project_Status_Check].[All]" dimensionUniqueName="[Table1]" displayFolder="" count="0" memberValueDatatype="130" unbalanced="0"/>
    <cacheHierarchy uniqueName="[Table1].[Last_Updated]" caption="Last_Updated" attribute="1" time="1" defaultMemberUniqueName="[Table1].[Last_Updated].[All]" allUniqueName="[Table1].[Last_Updated].[All]" dimensionUniqueName="[Table1]" displayFolder="" count="0" memberValueDatatype="7" unbalanced="0"/>
    <cacheHierarchy uniqueName="[Table1].[Schedule_Variance]" caption="Schedule_Variance" attribute="1" defaultMemberUniqueName="[Table1].[Schedule_Variance].[All]" allUniqueName="[Table1].[Schedule_Variance].[All]" dimensionUniqueName="[Table1]" displayFolder="" count="0" memberValueDatatype="20" unbalanced="0"/>
    <cacheHierarchy uniqueName="[Table1].[Schedule_Status]" caption="Schedule_Status" attribute="1" defaultMemberUniqueName="[Table1].[Schedule_Status].[All]" allUniqueName="[Table1].[Schedule_Status].[All]" dimensionUniqueName="[Table1]" displayFolder="" count="2" memberValueDatatype="130" unbalanced="0">
      <fieldsUsage count="2">
        <fieldUsage x="-1"/>
        <fieldUsage x="0"/>
      </fieldsUsage>
    </cacheHierarchy>
    <cacheHierarchy uniqueName="[Table1].[Cost_Variance]" caption="Cost_Variance" attribute="1" defaultMemberUniqueName="[Table1].[Cost_Variance].[All]" allUniqueName="[Table1].[Cost_Variance].[All]" dimensionUniqueName="[Table1]" displayFolder="" count="0" memberValueDatatype="130" unbalanced="0"/>
    <cacheHierarchy uniqueName="[Table1].[Cost_Variance_Percentage]" caption="Cost_Variance_Percentage" attribute="1" defaultMemberUniqueName="[Table1].[Cost_Variance_Percentage].[All]" allUniqueName="[Table1].[Cost_Variance_Percentage].[All]" dimensionUniqueName="[Table1]" displayFolder="" count="0" memberValueDatatype="130" unbalanced="0"/>
    <cacheHierarchy uniqueName="[Table1].[Budget_Status]" caption="Budget_Status" attribute="1" defaultMemberUniqueName="[Table1].[Budget_Status].[All]" allUniqueName="[Table1].[Budget_Status].[All]" dimensionUniqueName="[Table1]" displayFolder="" count="0" memberValueDatatype="130" unbalanced="0"/>
    <cacheHierarchy uniqueName="[Table1].[Cost_Variance_Pivot]" caption="Cost_Variance_Pivot" attribute="1" defaultMemberUniqueName="[Table1].[Cost_Variance_Pivot].[All]" allUniqueName="[Table1].[Cost_Variance_Pivot].[All]" dimensionUniqueName="[Table1]" displayFolder="" count="0" memberValueDatatype="5" unbalanced="0"/>
    <cacheHierarchy uniqueName="[Table1].[Cost_Variance_Percentage_Pivot]" caption="Cost_Variance_Percentage_Pivot" attribute="1" defaultMemberUniqueName="[Table1].[Cost_Variance_Percentage_Pivot].[All]" allUniqueName="[Table1].[Cost_Variance_Percentage_Pivot].[All]" dimensionUniqueName="[Table1]" displayFolder="" count="0" memberValueDatatype="5" unbalanced="0"/>
    <cacheHierarchy uniqueName="[Table1].[Latest_Record_Flag]" caption="Latest_Record_Flag" attribute="1" defaultMemberUniqueName="[Table1].[Latest_Record_Flag].[All]" allUniqueName="[Table1].[Latest_Record_Flag].[All]" dimensionUniqueName="[Table1]" displayFolder="" count="2" memberValueDatatype="130" unbalanced="0">
      <fieldsUsage count="2">
        <fieldUsage x="-1"/>
        <fieldUsage x="2"/>
      </fieldsUsage>
    </cacheHierarchy>
    <cacheHierarchy uniqueName="[Table1].[Valid_Date_Count]" caption="Valid_Date_Count" attribute="1" defaultMemberUniqueName="[Table1].[Valid_Date_Count].[All]" allUniqueName="[Table1].[Valid_Date_Count].[All]" dimensionUniqueName="[Table1]" displayFolder="" count="0" memberValueDatatype="20" unbalanced="0"/>
    <cacheHierarchy uniqueName="[Table1].[Latest_Count]" caption="Latest_Count" attribute="1" defaultMemberUniqueName="[Table1].[Latest_Count].[All]" allUniqueName="[Table1].[Latest_Count].[All]" dimensionUniqueName="[Table1]" displayFolder="" count="0" memberValueDatatype="20" unbalanced="0"/>
    <cacheHierarchy uniqueName="[Table1].[Record_Review_Flag]" caption="Record_Review_Flag" attribute="1" defaultMemberUniqueName="[Table1].[Record_Review_Flag].[All]" allUniqueName="[Table1].[Record_Review_Flag].[All]" dimensionUniqueName="[Table1]" displayFolder="" count="0" memberValueDatatype="130" unbalanced="0"/>
    <cacheHierarchy uniqueName="[Table1].[Latest_Record_Check]" caption="Latest_Record_Check" attribute="1" defaultMemberUniqueName="[Table1].[Latest_Record_Check].[All]" allUniqueName="[Table1].[Latest_Record_Check].[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roject_ID]" caption="Count of Project_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roject_ID]" caption="Distinct Count of Project_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Schedule_Variance]" caption="Sum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Average of Schedule_Variance]" caption="Average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Count of Schedule_Variance]" caption="Count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Sum of Budget_ZAR]" caption="Sum of Budget_ZAR" measure="1" displayFolder="" measureGroup="Table1" count="0" hidden="1">
      <extLst>
        <ext xmlns:x15="http://schemas.microsoft.com/office/spreadsheetml/2010/11/main" uri="{B97F6D7D-B522-45F9-BDA1-12C45D357490}">
          <x15:cacheHierarchy aggregatedColumn="11"/>
        </ext>
      </extLst>
    </cacheHierarchy>
    <cacheHierarchy uniqueName="[Measures].[Sum of Actual_Cost_ZAR]" caption="Sum of Actual_Cost_ZAR" measure="1" displayFolder="" measureGroup="Table1" count="0" hidden="1">
      <extLst>
        <ext xmlns:x15="http://schemas.microsoft.com/office/spreadsheetml/2010/11/main" uri="{B97F6D7D-B522-45F9-BDA1-12C45D357490}">
          <x15:cacheHierarchy aggregatedColumn="13"/>
        </ext>
      </extLst>
    </cacheHierarchy>
    <cacheHierarchy uniqueName="[Measures].[Count of Cost_Variance]" caption="Count of Cost_Variance" measure="1" displayFolder="" measureGroup="Table1" count="0" hidden="1">
      <extLst>
        <ext xmlns:x15="http://schemas.microsoft.com/office/spreadsheetml/2010/11/main" uri="{B97F6D7D-B522-45F9-BDA1-12C45D357490}">
          <x15:cacheHierarchy aggregatedColumn="23"/>
        </ext>
      </extLst>
    </cacheHierarchy>
    <cacheHierarchy uniqueName="[Measures].[Count of Cost_Variance_Percentage]" caption="Count of Cost_Variance_Percentage" measure="1" displayFolder="" measureGroup="Table1" count="0" hidden="1">
      <extLst>
        <ext xmlns:x15="http://schemas.microsoft.com/office/spreadsheetml/2010/11/main" uri="{B97F6D7D-B522-45F9-BDA1-12C45D357490}">
          <x15:cacheHierarchy aggregatedColumn="24"/>
        </ext>
      </extLst>
    </cacheHierarchy>
    <cacheHierarchy uniqueName="[Measures].[Sum of Cost_Variance_Pivot]" caption="Sum of Cost_Variance_Pivot" measure="1" displayFolder="" measureGroup="Table1" count="0" hidden="1">
      <extLst>
        <ext xmlns:x15="http://schemas.microsoft.com/office/spreadsheetml/2010/11/main" uri="{B97F6D7D-B522-45F9-BDA1-12C45D357490}">
          <x15:cacheHierarchy aggregatedColumn="26"/>
        </ext>
      </extLst>
    </cacheHierarchy>
    <cacheHierarchy uniqueName="[Measures].[Sum of Cost_Variance_Percentage_Pivot]" caption="Sum of Cost_Variance_Percentage_Pivot" measure="1" displayFolder="" measureGroup="Table1" count="0" hidden="1">
      <extLst>
        <ext xmlns:x15="http://schemas.microsoft.com/office/spreadsheetml/2010/11/main" uri="{B97F6D7D-B522-45F9-BDA1-12C45D357490}">
          <x15:cacheHierarchy aggregatedColumn="27"/>
        </ext>
      </extLst>
    </cacheHierarchy>
    <cacheHierarchy uniqueName="[Measures].[Average of Cost_Variance_Percentage_Pivot]" caption="Average of Cost_Variance_Percentage_Pivot" measure="1" displayFolder="" measureGroup="Table1" count="0" hidden="1">
      <extLst>
        <ext xmlns:x15="http://schemas.microsoft.com/office/spreadsheetml/2010/11/main" uri="{B97F6D7D-B522-45F9-BDA1-12C45D357490}">
          <x15:cacheHierarchy aggregatedColumn="27"/>
        </ext>
      </extLst>
    </cacheHierarchy>
    <cacheHierarchy uniqueName="[Measures].[Average of Cost_Variance_Pivot]" caption="Average of Cost_Variance_Pivot" measure="1" displayFolder="" measureGroup="Table1"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onia Patience Munedzimwe" refreshedDate="46308.932807407407" backgroundQuery="1" createdVersion="8" refreshedVersion="8" minRefreshableVersion="3" recordCount="0" supportSubquery="1" supportAdvancedDrill="1" xr:uid="{F0BDEE17-2F3A-4F1F-8560-1816FD3EE423}">
  <cacheSource type="external" connectionId="1"/>
  <cacheFields count="3">
    <cacheField name="[Table1].[Project_Expected_Status].[Project_Expected_Status]" caption="Project_Expected_Status" numFmtId="0" hierarchy="18" level="1">
      <sharedItems count="4">
        <s v="Completed"/>
        <s v="In Progress"/>
        <s v="Planning"/>
        <s v="Unknown"/>
      </sharedItems>
    </cacheField>
    <cacheField name="[Measures].[Distinct Count of Project_ID]" caption="Distinct Count of Project_ID" numFmtId="0" hierarchy="36" level="32767"/>
    <cacheField name="[Table1].[Latest_Record_Flag].[Latest_Record_Flag]" caption="Latest_Record_Flag" numFmtId="0" hierarchy="28" level="1">
      <sharedItems containsSemiMixedTypes="0" containsNonDate="0" containsString="0"/>
    </cacheField>
  </cacheFields>
  <cacheHierarchies count="48">
    <cacheHierarchy uniqueName="[Table1].[Record_ID]" caption="Record_ID" attribute="1" defaultMemberUniqueName="[Table1].[Record_ID].[All]" allUniqueName="[Table1].[Record_ID].[All]" dimensionUniqueName="[Table1]" displayFolder="" count="0" memberValueDatatype="130" unbalanced="0"/>
    <cacheHierarchy uniqueName="[Table1].[Project_ID]" caption="Project_ID" attribute="1" defaultMemberUniqueName="[Table1].[Project_ID].[All]" allUniqueName="[Table1].[Project_ID].[All]" dimensionUniqueName="[Table1]" displayFolder="" count="0" memberValueDatatype="130" unbalanced="0"/>
    <cacheHierarchy uniqueName="[Table1].[Project_Name]" caption="Project_Name" attribute="1" defaultMemberUniqueName="[Table1].[Project_Name].[All]" allUniqueName="[Table1].[Project_Name].[All]" dimensionUniqueName="[Table1]" displayFolder="" count="0" memberValueDatatype="130" unbalanced="0"/>
    <cacheHierarchy uniqueName="[Table1].[Site_Location]" caption="Site_Location" attribute="1" defaultMemberUniqueName="[Table1].[Site_Location].[All]" allUniqueName="[Table1].[Site_Location].[All]" dimensionUniqueName="[Table1]" displayFolder="" count="0" memberValueDatatype="130" unbalanced="0"/>
    <cacheHierarchy uniqueName="[Table1].[Project_Type]" caption="Project_Type" attribute="1" defaultMemberUniqueName="[Table1].[Project_Type].[All]" allUniqueName="[Table1].[Project_Type].[All]" dimensionUniqueName="[Table1]" displayFolder="" count="0" memberValueDatatype="130" unbalanced="0"/>
    <cacheHierarchy uniqueName="[Table1].[Project_Manager]" caption="Project_Manager" attribute="1" defaultMemberUniqueName="[Table1].[Project_Manager].[All]" allUniqueName="[Table1].[Project_Manager].[All]" dimensionUniqueName="[Table1]" displayFolder="" count="0" memberValueDatatype="130" unbalanced="0"/>
    <cacheHierarchy uniqueName="[Table1].[Main_Contractor]" caption="Main_Contractor" attribute="1" defaultMemberUniqueName="[Table1].[Main_Contractor].[All]" allUniqueName="[Table1].[Main_Contractor].[All]" dimensionUniqueName="[Table1]" displayFolder="" count="0" memberValueDatatype="130" unbalanced="0"/>
    <cacheHierarchy uniqueName="[Table1].[Material_Category]" caption="Material_Category" attribute="1" defaultMemberUniqueName="[Table1].[Material_Category].[All]" allUniqueName="[Table1].[Material_Category].[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Planned_Duration_Days]" caption="Planned_Duration_Days" attribute="1" defaultMemberUniqueName="[Table1].[Planned_Duration_Days].[All]" allUniqueName="[Table1].[Planned_Duration_Days].[All]" dimensionUniqueName="[Table1]" displayFolder="" count="0" memberValueDatatype="20" unbalanced="0"/>
    <cacheHierarchy uniqueName="[Table1].[Actual_Duration_Days]" caption="Actual_Duration_Days" attribute="1" defaultMemberUniqueName="[Table1].[Actual_Duration_Days].[All]" allUniqueName="[Table1].[Actual_Duration_Days].[All]" dimensionUniqueName="[Table1]" displayFolder="" count="0" memberValueDatatype="20" unbalanced="0"/>
    <cacheHierarchy uniqueName="[Table1].[Budget_ZAR]" caption="Budget_ZAR" attribute="1" defaultMemberUniqueName="[Table1].[Budget_ZAR].[All]" allUniqueName="[Table1].[Budget_ZAR].[All]" dimensionUniqueName="[Table1]" displayFolder="" count="0" memberValueDatatype="5" unbalanced="0"/>
    <cacheHierarchy uniqueName="[Table1].[Budget_Missing]" caption="Budget_Missing" attribute="1" defaultMemberUniqueName="[Table1].[Budget_Missing].[All]" allUniqueName="[Table1].[Budget_Missing].[All]" dimensionUniqueName="[Table1]" displayFolder="" count="0" memberValueDatatype="130" unbalanced="0"/>
    <cacheHierarchy uniqueName="[Table1].[Actual_Cost_ZAR]" caption="Actual_Cost_ZAR" attribute="1" defaultMemberUniqueName="[Table1].[Actual_Cost_ZAR].[All]" allUniqueName="[Table1].[Actual_Cost_ZAR].[All]" dimensionUniqueName="[Table1]" displayFolder="" count="0" memberValueDatatype="5" unbalanced="0"/>
    <cacheHierarchy uniqueName="[Table1].[Actual_Missing]" caption="Actual_Missing" attribute="1" defaultMemberUniqueName="[Table1].[Actual_Missing].[All]" allUniqueName="[Table1].[Actual_Missing].[All]" dimensionUniqueName="[Table1]" displayFolder="" count="0" memberValueDatatype="130" unbalanced="0"/>
    <cacheHierarchy uniqueName="[Table1].[Cost_Data _Flag]" caption="Cost_Data _Flag" attribute="1" defaultMemberUniqueName="[Table1].[Cost_Data _Flag].[All]" allUniqueName="[Table1].[Cost_Data _Flag].[All]" dimensionUniqueName="[Table1]" displayFolder="" count="0" memberValueDatatype="130" unbalanced="0"/>
    <cacheHierarchy uniqueName="[Table1].[Progress_Percent]" caption="Progress_Percent" attribute="1" defaultMemberUniqueName="[Table1].[Progress_Percent].[All]" allUniqueName="[Table1].[Progress_Percent].[All]" dimensionUniqueName="[Table1]" displayFolder="" count="0" memberValueDatatype="130" unbalanced="0"/>
    <cacheHierarchy uniqueName="[Table1].[Project_Status]" caption="Project_Status" attribute="1" defaultMemberUniqueName="[Table1].[Project_Status].[All]" allUniqueName="[Table1].[Project_Status].[All]" dimensionUniqueName="[Table1]" displayFolder="" count="0" memberValueDatatype="130" unbalanced="0"/>
    <cacheHierarchy uniqueName="[Table1].[Project_Expected_Status]" caption="Project_Expected_Status" attribute="1" defaultMemberUniqueName="[Table1].[Project_Expected_Status].[All]" allUniqueName="[Table1].[Project_Expected_Status].[All]" dimensionUniqueName="[Table1]" displayFolder="" count="2" memberValueDatatype="130" unbalanced="0">
      <fieldsUsage count="2">
        <fieldUsage x="-1"/>
        <fieldUsage x="0"/>
      </fieldsUsage>
    </cacheHierarchy>
    <cacheHierarchy uniqueName="[Table1].[Project_Status_Check]" caption="Project_Status_Check" attribute="1" defaultMemberUniqueName="[Table1].[Project_Status_Check].[All]" allUniqueName="[Table1].[Project_Status_Check].[All]" dimensionUniqueName="[Table1]" displayFolder="" count="0" memberValueDatatype="130" unbalanced="0"/>
    <cacheHierarchy uniqueName="[Table1].[Last_Updated]" caption="Last_Updated" attribute="1" time="1" defaultMemberUniqueName="[Table1].[Last_Updated].[All]" allUniqueName="[Table1].[Last_Updated].[All]" dimensionUniqueName="[Table1]" displayFolder="" count="0" memberValueDatatype="7" unbalanced="0"/>
    <cacheHierarchy uniqueName="[Table1].[Schedule_Variance]" caption="Schedule_Variance" attribute="1" defaultMemberUniqueName="[Table1].[Schedule_Variance].[All]" allUniqueName="[Table1].[Schedule_Variance].[All]" dimensionUniqueName="[Table1]" displayFolder="" count="0" memberValueDatatype="20" unbalanced="0"/>
    <cacheHierarchy uniqueName="[Table1].[Schedule_Status]" caption="Schedule_Status" attribute="1" defaultMemberUniqueName="[Table1].[Schedule_Status].[All]" allUniqueName="[Table1].[Schedule_Status].[All]" dimensionUniqueName="[Table1]" displayFolder="" count="0" memberValueDatatype="130" unbalanced="0"/>
    <cacheHierarchy uniqueName="[Table1].[Cost_Variance]" caption="Cost_Variance" attribute="1" defaultMemberUniqueName="[Table1].[Cost_Variance].[All]" allUniqueName="[Table1].[Cost_Variance].[All]" dimensionUniqueName="[Table1]" displayFolder="" count="0" memberValueDatatype="130" unbalanced="0"/>
    <cacheHierarchy uniqueName="[Table1].[Cost_Variance_Percentage]" caption="Cost_Variance_Percentage" attribute="1" defaultMemberUniqueName="[Table1].[Cost_Variance_Percentage].[All]" allUniqueName="[Table1].[Cost_Variance_Percentage].[All]" dimensionUniqueName="[Table1]" displayFolder="" count="0" memberValueDatatype="130" unbalanced="0"/>
    <cacheHierarchy uniqueName="[Table1].[Budget_Status]" caption="Budget_Status" attribute="1" defaultMemberUniqueName="[Table1].[Budget_Status].[All]" allUniqueName="[Table1].[Budget_Status].[All]" dimensionUniqueName="[Table1]" displayFolder="" count="0" memberValueDatatype="130" unbalanced="0"/>
    <cacheHierarchy uniqueName="[Table1].[Cost_Variance_Pivot]" caption="Cost_Variance_Pivot" attribute="1" defaultMemberUniqueName="[Table1].[Cost_Variance_Pivot].[All]" allUniqueName="[Table1].[Cost_Variance_Pivot].[All]" dimensionUniqueName="[Table1]" displayFolder="" count="0" memberValueDatatype="5" unbalanced="0"/>
    <cacheHierarchy uniqueName="[Table1].[Cost_Variance_Percentage_Pivot]" caption="Cost_Variance_Percentage_Pivot" attribute="1" defaultMemberUniqueName="[Table1].[Cost_Variance_Percentage_Pivot].[All]" allUniqueName="[Table1].[Cost_Variance_Percentage_Pivot].[All]" dimensionUniqueName="[Table1]" displayFolder="" count="0" memberValueDatatype="5" unbalanced="0"/>
    <cacheHierarchy uniqueName="[Table1].[Latest_Record_Flag]" caption="Latest_Record_Flag" attribute="1" defaultMemberUniqueName="[Table1].[Latest_Record_Flag].[All]" allUniqueName="[Table1].[Latest_Record_Flag].[All]" dimensionUniqueName="[Table1]" displayFolder="" count="2" memberValueDatatype="130" unbalanced="0">
      <fieldsUsage count="2">
        <fieldUsage x="-1"/>
        <fieldUsage x="2"/>
      </fieldsUsage>
    </cacheHierarchy>
    <cacheHierarchy uniqueName="[Table1].[Valid_Date_Count]" caption="Valid_Date_Count" attribute="1" defaultMemberUniqueName="[Table1].[Valid_Date_Count].[All]" allUniqueName="[Table1].[Valid_Date_Count].[All]" dimensionUniqueName="[Table1]" displayFolder="" count="0" memberValueDatatype="20" unbalanced="0"/>
    <cacheHierarchy uniqueName="[Table1].[Latest_Count]" caption="Latest_Count" attribute="1" defaultMemberUniqueName="[Table1].[Latest_Count].[All]" allUniqueName="[Table1].[Latest_Count].[All]" dimensionUniqueName="[Table1]" displayFolder="" count="0" memberValueDatatype="20" unbalanced="0"/>
    <cacheHierarchy uniqueName="[Table1].[Record_Review_Flag]" caption="Record_Review_Flag" attribute="1" defaultMemberUniqueName="[Table1].[Record_Review_Flag].[All]" allUniqueName="[Table1].[Record_Review_Flag].[All]" dimensionUniqueName="[Table1]" displayFolder="" count="0" memberValueDatatype="130" unbalanced="0"/>
    <cacheHierarchy uniqueName="[Table1].[Latest_Record_Check]" caption="Latest_Record_Check" attribute="1" defaultMemberUniqueName="[Table1].[Latest_Record_Check].[All]" allUniqueName="[Table1].[Latest_Record_Check].[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roject_ID]" caption="Count of Project_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roject_ID]" caption="Distinct Count of Project_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Schedule_Variance]" caption="Sum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Average of Schedule_Variance]" caption="Average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Count of Schedule_Variance]" caption="Count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Sum of Budget_ZAR]" caption="Sum of Budget_ZAR" measure="1" displayFolder="" measureGroup="Table1" count="0" hidden="1">
      <extLst>
        <ext xmlns:x15="http://schemas.microsoft.com/office/spreadsheetml/2010/11/main" uri="{B97F6D7D-B522-45F9-BDA1-12C45D357490}">
          <x15:cacheHierarchy aggregatedColumn="11"/>
        </ext>
      </extLst>
    </cacheHierarchy>
    <cacheHierarchy uniqueName="[Measures].[Sum of Actual_Cost_ZAR]" caption="Sum of Actual_Cost_ZAR" measure="1" displayFolder="" measureGroup="Table1" count="0" hidden="1">
      <extLst>
        <ext xmlns:x15="http://schemas.microsoft.com/office/spreadsheetml/2010/11/main" uri="{B97F6D7D-B522-45F9-BDA1-12C45D357490}">
          <x15:cacheHierarchy aggregatedColumn="13"/>
        </ext>
      </extLst>
    </cacheHierarchy>
    <cacheHierarchy uniqueName="[Measures].[Count of Cost_Variance]" caption="Count of Cost_Variance" measure="1" displayFolder="" measureGroup="Table1" count="0" hidden="1">
      <extLst>
        <ext xmlns:x15="http://schemas.microsoft.com/office/spreadsheetml/2010/11/main" uri="{B97F6D7D-B522-45F9-BDA1-12C45D357490}">
          <x15:cacheHierarchy aggregatedColumn="23"/>
        </ext>
      </extLst>
    </cacheHierarchy>
    <cacheHierarchy uniqueName="[Measures].[Count of Cost_Variance_Percentage]" caption="Count of Cost_Variance_Percentage" measure="1" displayFolder="" measureGroup="Table1" count="0" hidden="1">
      <extLst>
        <ext xmlns:x15="http://schemas.microsoft.com/office/spreadsheetml/2010/11/main" uri="{B97F6D7D-B522-45F9-BDA1-12C45D357490}">
          <x15:cacheHierarchy aggregatedColumn="24"/>
        </ext>
      </extLst>
    </cacheHierarchy>
    <cacheHierarchy uniqueName="[Measures].[Sum of Cost_Variance_Pivot]" caption="Sum of Cost_Variance_Pivot" measure="1" displayFolder="" measureGroup="Table1" count="0" hidden="1">
      <extLst>
        <ext xmlns:x15="http://schemas.microsoft.com/office/spreadsheetml/2010/11/main" uri="{B97F6D7D-B522-45F9-BDA1-12C45D357490}">
          <x15:cacheHierarchy aggregatedColumn="26"/>
        </ext>
      </extLst>
    </cacheHierarchy>
    <cacheHierarchy uniqueName="[Measures].[Sum of Cost_Variance_Percentage_Pivot]" caption="Sum of Cost_Variance_Percentage_Pivot" measure="1" displayFolder="" measureGroup="Table1" count="0" hidden="1">
      <extLst>
        <ext xmlns:x15="http://schemas.microsoft.com/office/spreadsheetml/2010/11/main" uri="{B97F6D7D-B522-45F9-BDA1-12C45D357490}">
          <x15:cacheHierarchy aggregatedColumn="27"/>
        </ext>
      </extLst>
    </cacheHierarchy>
    <cacheHierarchy uniqueName="[Measures].[Average of Cost_Variance_Percentage_Pivot]" caption="Average of Cost_Variance_Percentage_Pivot" measure="1" displayFolder="" measureGroup="Table1" count="0" hidden="1">
      <extLst>
        <ext xmlns:x15="http://schemas.microsoft.com/office/spreadsheetml/2010/11/main" uri="{B97F6D7D-B522-45F9-BDA1-12C45D357490}">
          <x15:cacheHierarchy aggregatedColumn="27"/>
        </ext>
      </extLst>
    </cacheHierarchy>
    <cacheHierarchy uniqueName="[Measures].[Average of Cost_Variance_Pivot]" caption="Average of Cost_Variance_Pivot" measure="1" displayFolder="" measureGroup="Table1"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onia Patience Munedzimwe" refreshedDate="46308.932808912039" backgroundQuery="1" createdVersion="8" refreshedVersion="8" minRefreshableVersion="3" recordCount="0" supportSubquery="1" supportAdvancedDrill="1" xr:uid="{F5694570-10BB-48FB-AA7D-12D48BB833C0}">
  <cacheSource type="external" connectionId="1"/>
  <cacheFields count="2">
    <cacheField name="[Table1].[Project_Status].[Project_Status]" caption="Project_Status" numFmtId="0" hierarchy="17" level="1">
      <sharedItems count="4">
        <s v="Completed"/>
        <s v="In Progress"/>
        <s v="On Hold"/>
        <s v="Planning"/>
      </sharedItems>
    </cacheField>
    <cacheField name="[Measures].[Distinct Count of Project_ID]" caption="Distinct Count of Project_ID" numFmtId="0" hierarchy="36" level="32767"/>
  </cacheFields>
  <cacheHierarchies count="48">
    <cacheHierarchy uniqueName="[Table1].[Record_ID]" caption="Record_ID" attribute="1" defaultMemberUniqueName="[Table1].[Record_ID].[All]" allUniqueName="[Table1].[Record_ID].[All]" dimensionUniqueName="[Table1]" displayFolder="" count="0" memberValueDatatype="130" unbalanced="0"/>
    <cacheHierarchy uniqueName="[Table1].[Project_ID]" caption="Project_ID" attribute="1" defaultMemberUniqueName="[Table1].[Project_ID].[All]" allUniqueName="[Table1].[Project_ID].[All]" dimensionUniqueName="[Table1]" displayFolder="" count="0" memberValueDatatype="130" unbalanced="0"/>
    <cacheHierarchy uniqueName="[Table1].[Project_Name]" caption="Project_Name" attribute="1" defaultMemberUniqueName="[Table1].[Project_Name].[All]" allUniqueName="[Table1].[Project_Name].[All]" dimensionUniqueName="[Table1]" displayFolder="" count="0" memberValueDatatype="130" unbalanced="0"/>
    <cacheHierarchy uniqueName="[Table1].[Site_Location]" caption="Site_Location" attribute="1" defaultMemberUniqueName="[Table1].[Site_Location].[All]" allUniqueName="[Table1].[Site_Location].[All]" dimensionUniqueName="[Table1]" displayFolder="" count="0" memberValueDatatype="130" unbalanced="0"/>
    <cacheHierarchy uniqueName="[Table1].[Project_Type]" caption="Project_Type" attribute="1" defaultMemberUniqueName="[Table1].[Project_Type].[All]" allUniqueName="[Table1].[Project_Type].[All]" dimensionUniqueName="[Table1]" displayFolder="" count="0" memberValueDatatype="130" unbalanced="0"/>
    <cacheHierarchy uniqueName="[Table1].[Project_Manager]" caption="Project_Manager" attribute="1" defaultMemberUniqueName="[Table1].[Project_Manager].[All]" allUniqueName="[Table1].[Project_Manager].[All]" dimensionUniqueName="[Table1]" displayFolder="" count="0" memberValueDatatype="130" unbalanced="0"/>
    <cacheHierarchy uniqueName="[Table1].[Main_Contractor]" caption="Main_Contractor" attribute="1" defaultMemberUniqueName="[Table1].[Main_Contractor].[All]" allUniqueName="[Table1].[Main_Contractor].[All]" dimensionUniqueName="[Table1]" displayFolder="" count="0" memberValueDatatype="130" unbalanced="0"/>
    <cacheHierarchy uniqueName="[Table1].[Material_Category]" caption="Material_Category" attribute="1" defaultMemberUniqueName="[Table1].[Material_Category].[All]" allUniqueName="[Table1].[Material_Category].[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Planned_Duration_Days]" caption="Planned_Duration_Days" attribute="1" defaultMemberUniqueName="[Table1].[Planned_Duration_Days].[All]" allUniqueName="[Table1].[Planned_Duration_Days].[All]" dimensionUniqueName="[Table1]" displayFolder="" count="0" memberValueDatatype="20" unbalanced="0"/>
    <cacheHierarchy uniqueName="[Table1].[Actual_Duration_Days]" caption="Actual_Duration_Days" attribute="1" defaultMemberUniqueName="[Table1].[Actual_Duration_Days].[All]" allUniqueName="[Table1].[Actual_Duration_Days].[All]" dimensionUniqueName="[Table1]" displayFolder="" count="0" memberValueDatatype="20" unbalanced="0"/>
    <cacheHierarchy uniqueName="[Table1].[Budget_ZAR]" caption="Budget_ZAR" attribute="1" defaultMemberUniqueName="[Table1].[Budget_ZAR].[All]" allUniqueName="[Table1].[Budget_ZAR].[All]" dimensionUniqueName="[Table1]" displayFolder="" count="0" memberValueDatatype="5" unbalanced="0"/>
    <cacheHierarchy uniqueName="[Table1].[Budget_Missing]" caption="Budget_Missing" attribute="1" defaultMemberUniqueName="[Table1].[Budget_Missing].[All]" allUniqueName="[Table1].[Budget_Missing].[All]" dimensionUniqueName="[Table1]" displayFolder="" count="0" memberValueDatatype="130" unbalanced="0"/>
    <cacheHierarchy uniqueName="[Table1].[Actual_Cost_ZAR]" caption="Actual_Cost_ZAR" attribute="1" defaultMemberUniqueName="[Table1].[Actual_Cost_ZAR].[All]" allUniqueName="[Table1].[Actual_Cost_ZAR].[All]" dimensionUniqueName="[Table1]" displayFolder="" count="0" memberValueDatatype="5" unbalanced="0"/>
    <cacheHierarchy uniqueName="[Table1].[Actual_Missing]" caption="Actual_Missing" attribute="1" defaultMemberUniqueName="[Table1].[Actual_Missing].[All]" allUniqueName="[Table1].[Actual_Missing].[All]" dimensionUniqueName="[Table1]" displayFolder="" count="0" memberValueDatatype="130" unbalanced="0"/>
    <cacheHierarchy uniqueName="[Table1].[Cost_Data _Flag]" caption="Cost_Data _Flag" attribute="1" defaultMemberUniqueName="[Table1].[Cost_Data _Flag].[All]" allUniqueName="[Table1].[Cost_Data _Flag].[All]" dimensionUniqueName="[Table1]" displayFolder="" count="0" memberValueDatatype="130" unbalanced="0"/>
    <cacheHierarchy uniqueName="[Table1].[Progress_Percent]" caption="Progress_Percent" attribute="1" defaultMemberUniqueName="[Table1].[Progress_Percent].[All]" allUniqueName="[Table1].[Progress_Percent].[All]" dimensionUniqueName="[Table1]" displayFolder="" count="0" memberValueDatatype="130" unbalanced="0"/>
    <cacheHierarchy uniqueName="[Table1].[Project_Status]" caption="Project_Status" attribute="1" defaultMemberUniqueName="[Table1].[Project_Status].[All]" allUniqueName="[Table1].[Project_Status].[All]" dimensionUniqueName="[Table1]" displayFolder="" count="2" memberValueDatatype="130" unbalanced="0">
      <fieldsUsage count="2">
        <fieldUsage x="-1"/>
        <fieldUsage x="0"/>
      </fieldsUsage>
    </cacheHierarchy>
    <cacheHierarchy uniqueName="[Table1].[Project_Expected_Status]" caption="Project_Expected_Status" attribute="1" defaultMemberUniqueName="[Table1].[Project_Expected_Status].[All]" allUniqueName="[Table1].[Project_Expected_Status].[All]" dimensionUniqueName="[Table1]" displayFolder="" count="0" memberValueDatatype="130" unbalanced="0"/>
    <cacheHierarchy uniqueName="[Table1].[Project_Status_Check]" caption="Project_Status_Check" attribute="1" defaultMemberUniqueName="[Table1].[Project_Status_Check].[All]" allUniqueName="[Table1].[Project_Status_Check].[All]" dimensionUniqueName="[Table1]" displayFolder="" count="0" memberValueDatatype="130" unbalanced="0"/>
    <cacheHierarchy uniqueName="[Table1].[Last_Updated]" caption="Last_Updated" attribute="1" time="1" defaultMemberUniqueName="[Table1].[Last_Updated].[All]" allUniqueName="[Table1].[Last_Updated].[All]" dimensionUniqueName="[Table1]" displayFolder="" count="0" memberValueDatatype="7" unbalanced="0"/>
    <cacheHierarchy uniqueName="[Table1].[Schedule_Variance]" caption="Schedule_Variance" attribute="1" defaultMemberUniqueName="[Table1].[Schedule_Variance].[All]" allUniqueName="[Table1].[Schedule_Variance].[All]" dimensionUniqueName="[Table1]" displayFolder="" count="0" memberValueDatatype="20" unbalanced="0"/>
    <cacheHierarchy uniqueName="[Table1].[Schedule_Status]" caption="Schedule_Status" attribute="1" defaultMemberUniqueName="[Table1].[Schedule_Status].[All]" allUniqueName="[Table1].[Schedule_Status].[All]" dimensionUniqueName="[Table1]" displayFolder="" count="0" memberValueDatatype="130" unbalanced="0"/>
    <cacheHierarchy uniqueName="[Table1].[Cost_Variance]" caption="Cost_Variance" attribute="1" defaultMemberUniqueName="[Table1].[Cost_Variance].[All]" allUniqueName="[Table1].[Cost_Variance].[All]" dimensionUniqueName="[Table1]" displayFolder="" count="0" memberValueDatatype="130" unbalanced="0"/>
    <cacheHierarchy uniqueName="[Table1].[Cost_Variance_Percentage]" caption="Cost_Variance_Percentage" attribute="1" defaultMemberUniqueName="[Table1].[Cost_Variance_Percentage].[All]" allUniqueName="[Table1].[Cost_Variance_Percentage].[All]" dimensionUniqueName="[Table1]" displayFolder="" count="0" memberValueDatatype="130" unbalanced="0"/>
    <cacheHierarchy uniqueName="[Table1].[Budget_Status]" caption="Budget_Status" attribute="1" defaultMemberUniqueName="[Table1].[Budget_Status].[All]" allUniqueName="[Table1].[Budget_Status].[All]" dimensionUniqueName="[Table1]" displayFolder="" count="0" memberValueDatatype="130" unbalanced="0"/>
    <cacheHierarchy uniqueName="[Table1].[Cost_Variance_Pivot]" caption="Cost_Variance_Pivot" attribute="1" defaultMemberUniqueName="[Table1].[Cost_Variance_Pivot].[All]" allUniqueName="[Table1].[Cost_Variance_Pivot].[All]" dimensionUniqueName="[Table1]" displayFolder="" count="0" memberValueDatatype="5" unbalanced="0"/>
    <cacheHierarchy uniqueName="[Table1].[Cost_Variance_Percentage_Pivot]" caption="Cost_Variance_Percentage_Pivot" attribute="1" defaultMemberUniqueName="[Table1].[Cost_Variance_Percentage_Pivot].[All]" allUniqueName="[Table1].[Cost_Variance_Percentage_Pivot].[All]" dimensionUniqueName="[Table1]" displayFolder="" count="0" memberValueDatatype="5" unbalanced="0"/>
    <cacheHierarchy uniqueName="[Table1].[Latest_Record_Flag]" caption="Latest_Record_Flag" attribute="1" defaultMemberUniqueName="[Table1].[Latest_Record_Flag].[All]" allUniqueName="[Table1].[Latest_Record_Flag].[All]" dimensionUniqueName="[Table1]" displayFolder="" count="0" memberValueDatatype="130" unbalanced="0"/>
    <cacheHierarchy uniqueName="[Table1].[Valid_Date_Count]" caption="Valid_Date_Count" attribute="1" defaultMemberUniqueName="[Table1].[Valid_Date_Count].[All]" allUniqueName="[Table1].[Valid_Date_Count].[All]" dimensionUniqueName="[Table1]" displayFolder="" count="0" memberValueDatatype="20" unbalanced="0"/>
    <cacheHierarchy uniqueName="[Table1].[Latest_Count]" caption="Latest_Count" attribute="1" defaultMemberUniqueName="[Table1].[Latest_Count].[All]" allUniqueName="[Table1].[Latest_Count].[All]" dimensionUniqueName="[Table1]" displayFolder="" count="0" memberValueDatatype="20" unbalanced="0"/>
    <cacheHierarchy uniqueName="[Table1].[Record_Review_Flag]" caption="Record_Review_Flag" attribute="1" defaultMemberUniqueName="[Table1].[Record_Review_Flag].[All]" allUniqueName="[Table1].[Record_Review_Flag].[All]" dimensionUniqueName="[Table1]" displayFolder="" count="0" memberValueDatatype="130" unbalanced="0"/>
    <cacheHierarchy uniqueName="[Table1].[Latest_Record_Check]" caption="Latest_Record_Check" attribute="1" defaultMemberUniqueName="[Table1].[Latest_Record_Check].[All]" allUniqueName="[Table1].[Latest_Record_Check].[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roject_ID]" caption="Count of Project_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roject_ID]" caption="Distinct Count of Project_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Schedule_Variance]" caption="Sum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Average of Schedule_Variance]" caption="Average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Count of Schedule_Variance]" caption="Count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Sum of Budget_ZAR]" caption="Sum of Budget_ZAR" measure="1" displayFolder="" measureGroup="Table1" count="0" hidden="1">
      <extLst>
        <ext xmlns:x15="http://schemas.microsoft.com/office/spreadsheetml/2010/11/main" uri="{B97F6D7D-B522-45F9-BDA1-12C45D357490}">
          <x15:cacheHierarchy aggregatedColumn="11"/>
        </ext>
      </extLst>
    </cacheHierarchy>
    <cacheHierarchy uniqueName="[Measures].[Sum of Actual_Cost_ZAR]" caption="Sum of Actual_Cost_ZAR" measure="1" displayFolder="" measureGroup="Table1" count="0" hidden="1">
      <extLst>
        <ext xmlns:x15="http://schemas.microsoft.com/office/spreadsheetml/2010/11/main" uri="{B97F6D7D-B522-45F9-BDA1-12C45D357490}">
          <x15:cacheHierarchy aggregatedColumn="13"/>
        </ext>
      </extLst>
    </cacheHierarchy>
    <cacheHierarchy uniqueName="[Measures].[Count of Cost_Variance]" caption="Count of Cost_Variance" measure="1" displayFolder="" measureGroup="Table1" count="0" hidden="1">
      <extLst>
        <ext xmlns:x15="http://schemas.microsoft.com/office/spreadsheetml/2010/11/main" uri="{B97F6D7D-B522-45F9-BDA1-12C45D357490}">
          <x15:cacheHierarchy aggregatedColumn="23"/>
        </ext>
      </extLst>
    </cacheHierarchy>
    <cacheHierarchy uniqueName="[Measures].[Count of Cost_Variance_Percentage]" caption="Count of Cost_Variance_Percentage" measure="1" displayFolder="" measureGroup="Table1" count="0" hidden="1">
      <extLst>
        <ext xmlns:x15="http://schemas.microsoft.com/office/spreadsheetml/2010/11/main" uri="{B97F6D7D-B522-45F9-BDA1-12C45D357490}">
          <x15:cacheHierarchy aggregatedColumn="24"/>
        </ext>
      </extLst>
    </cacheHierarchy>
    <cacheHierarchy uniqueName="[Measures].[Sum of Cost_Variance_Pivot]" caption="Sum of Cost_Variance_Pivot" measure="1" displayFolder="" measureGroup="Table1" count="0" hidden="1">
      <extLst>
        <ext xmlns:x15="http://schemas.microsoft.com/office/spreadsheetml/2010/11/main" uri="{B97F6D7D-B522-45F9-BDA1-12C45D357490}">
          <x15:cacheHierarchy aggregatedColumn="26"/>
        </ext>
      </extLst>
    </cacheHierarchy>
    <cacheHierarchy uniqueName="[Measures].[Sum of Cost_Variance_Percentage_Pivot]" caption="Sum of Cost_Variance_Percentage_Pivot" measure="1" displayFolder="" measureGroup="Table1" count="0" hidden="1">
      <extLst>
        <ext xmlns:x15="http://schemas.microsoft.com/office/spreadsheetml/2010/11/main" uri="{B97F6D7D-B522-45F9-BDA1-12C45D357490}">
          <x15:cacheHierarchy aggregatedColumn="27"/>
        </ext>
      </extLst>
    </cacheHierarchy>
    <cacheHierarchy uniqueName="[Measures].[Average of Cost_Variance_Percentage_Pivot]" caption="Average of Cost_Variance_Percentage_Pivot" measure="1" displayFolder="" measureGroup="Table1" count="0" hidden="1">
      <extLst>
        <ext xmlns:x15="http://schemas.microsoft.com/office/spreadsheetml/2010/11/main" uri="{B97F6D7D-B522-45F9-BDA1-12C45D357490}">
          <x15:cacheHierarchy aggregatedColumn="27"/>
        </ext>
      </extLst>
    </cacheHierarchy>
    <cacheHierarchy uniqueName="[Measures].[Average of Cost_Variance_Pivot]" caption="Average of Cost_Variance_Pivot" measure="1" displayFolder="" measureGroup="Table1"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onia Patience Munedzimwe" refreshedDate="46308.932810995371" backgroundQuery="1" createdVersion="8" refreshedVersion="8" minRefreshableVersion="3" recordCount="0" supportSubquery="1" supportAdvancedDrill="1" xr:uid="{E72AD410-C737-4B2E-8035-3DDEAD2F8873}">
  <cacheSource type="external" connectionId="1"/>
  <cacheFields count="4">
    <cacheField name="[Table1].[Main_Contractor].[Main_Contractor]" caption="Main_Contractor" numFmtId="0" hierarchy="6" level="1">
      <sharedItems count="6">
        <s v="BuildRight Ltd"/>
        <s v="CapeBuild"/>
        <s v="Mandla Construction"/>
        <s v="Ndlovu Projects"/>
        <s v="Uknown"/>
        <s v="UrbanWorks"/>
      </sharedItems>
    </cacheField>
    <cacheField name="[Measures].[Distinct Count of Project_ID]" caption="Distinct Count of Project_ID" numFmtId="0" hierarchy="36" level="32767"/>
    <cacheField name="[Measures].[Average of Schedule_Variance]" caption="Average of Schedule_Variance" numFmtId="0" hierarchy="38" level="32767"/>
    <cacheField name="[Measures].[Average of Cost_Variance_Pivot]" caption="Average of Cost_Variance_Pivot" numFmtId="0" hierarchy="47" level="32767"/>
  </cacheFields>
  <cacheHierarchies count="48">
    <cacheHierarchy uniqueName="[Table1].[Record_ID]" caption="Record_ID" attribute="1" defaultMemberUniqueName="[Table1].[Record_ID].[All]" allUniqueName="[Table1].[Record_ID].[All]" dimensionUniqueName="[Table1]" displayFolder="" count="0" memberValueDatatype="130" unbalanced="0"/>
    <cacheHierarchy uniqueName="[Table1].[Project_ID]" caption="Project_ID" attribute="1" defaultMemberUniqueName="[Table1].[Project_ID].[All]" allUniqueName="[Table1].[Project_ID].[All]" dimensionUniqueName="[Table1]" displayFolder="" count="0" memberValueDatatype="130" unbalanced="0"/>
    <cacheHierarchy uniqueName="[Table1].[Project_Name]" caption="Project_Name" attribute="1" defaultMemberUniqueName="[Table1].[Project_Name].[All]" allUniqueName="[Table1].[Project_Name].[All]" dimensionUniqueName="[Table1]" displayFolder="" count="0" memberValueDatatype="130" unbalanced="0"/>
    <cacheHierarchy uniqueName="[Table1].[Site_Location]" caption="Site_Location" attribute="1" defaultMemberUniqueName="[Table1].[Site_Location].[All]" allUniqueName="[Table1].[Site_Location].[All]" dimensionUniqueName="[Table1]" displayFolder="" count="0" memberValueDatatype="130" unbalanced="0"/>
    <cacheHierarchy uniqueName="[Table1].[Project_Type]" caption="Project_Type" attribute="1" defaultMemberUniqueName="[Table1].[Project_Type].[All]" allUniqueName="[Table1].[Project_Type].[All]" dimensionUniqueName="[Table1]" displayFolder="" count="0" memberValueDatatype="130" unbalanced="0"/>
    <cacheHierarchy uniqueName="[Table1].[Project_Manager]" caption="Project_Manager" attribute="1" defaultMemberUniqueName="[Table1].[Project_Manager].[All]" allUniqueName="[Table1].[Project_Manager].[All]" dimensionUniqueName="[Table1]" displayFolder="" count="0" memberValueDatatype="130" unbalanced="0"/>
    <cacheHierarchy uniqueName="[Table1].[Main_Contractor]" caption="Main_Contractor" attribute="1" defaultMemberUniqueName="[Table1].[Main_Contractor].[All]" allUniqueName="[Table1].[Main_Contractor].[All]" dimensionUniqueName="[Table1]" displayFolder="" count="2" memberValueDatatype="130" unbalanced="0">
      <fieldsUsage count="2">
        <fieldUsage x="-1"/>
        <fieldUsage x="0"/>
      </fieldsUsage>
    </cacheHierarchy>
    <cacheHierarchy uniqueName="[Table1].[Material_Category]" caption="Material_Category" attribute="1" defaultMemberUniqueName="[Table1].[Material_Category].[All]" allUniqueName="[Table1].[Material_Category].[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Planned_Duration_Days]" caption="Planned_Duration_Days" attribute="1" defaultMemberUniqueName="[Table1].[Planned_Duration_Days].[All]" allUniqueName="[Table1].[Planned_Duration_Days].[All]" dimensionUniqueName="[Table1]" displayFolder="" count="0" memberValueDatatype="20" unbalanced="0"/>
    <cacheHierarchy uniqueName="[Table1].[Actual_Duration_Days]" caption="Actual_Duration_Days" attribute="1" defaultMemberUniqueName="[Table1].[Actual_Duration_Days].[All]" allUniqueName="[Table1].[Actual_Duration_Days].[All]" dimensionUniqueName="[Table1]" displayFolder="" count="0" memberValueDatatype="20" unbalanced="0"/>
    <cacheHierarchy uniqueName="[Table1].[Budget_ZAR]" caption="Budget_ZAR" attribute="1" defaultMemberUniqueName="[Table1].[Budget_ZAR].[All]" allUniqueName="[Table1].[Budget_ZAR].[All]" dimensionUniqueName="[Table1]" displayFolder="" count="0" memberValueDatatype="5" unbalanced="0"/>
    <cacheHierarchy uniqueName="[Table1].[Budget_Missing]" caption="Budget_Missing" attribute="1" defaultMemberUniqueName="[Table1].[Budget_Missing].[All]" allUniqueName="[Table1].[Budget_Missing].[All]" dimensionUniqueName="[Table1]" displayFolder="" count="0" memberValueDatatype="130" unbalanced="0"/>
    <cacheHierarchy uniqueName="[Table1].[Actual_Cost_ZAR]" caption="Actual_Cost_ZAR" attribute="1" defaultMemberUniqueName="[Table1].[Actual_Cost_ZAR].[All]" allUniqueName="[Table1].[Actual_Cost_ZAR].[All]" dimensionUniqueName="[Table1]" displayFolder="" count="0" memberValueDatatype="5" unbalanced="0"/>
    <cacheHierarchy uniqueName="[Table1].[Actual_Missing]" caption="Actual_Missing" attribute="1" defaultMemberUniqueName="[Table1].[Actual_Missing].[All]" allUniqueName="[Table1].[Actual_Missing].[All]" dimensionUniqueName="[Table1]" displayFolder="" count="0" memberValueDatatype="130" unbalanced="0"/>
    <cacheHierarchy uniqueName="[Table1].[Cost_Data _Flag]" caption="Cost_Data _Flag" attribute="1" defaultMemberUniqueName="[Table1].[Cost_Data _Flag].[All]" allUniqueName="[Table1].[Cost_Data _Flag].[All]" dimensionUniqueName="[Table1]" displayFolder="" count="0" memberValueDatatype="130" unbalanced="0"/>
    <cacheHierarchy uniqueName="[Table1].[Progress_Percent]" caption="Progress_Percent" attribute="1" defaultMemberUniqueName="[Table1].[Progress_Percent].[All]" allUniqueName="[Table1].[Progress_Percent].[All]" dimensionUniqueName="[Table1]" displayFolder="" count="0" memberValueDatatype="130" unbalanced="0"/>
    <cacheHierarchy uniqueName="[Table1].[Project_Status]" caption="Project_Status" attribute="1" defaultMemberUniqueName="[Table1].[Project_Status].[All]" allUniqueName="[Table1].[Project_Status].[All]" dimensionUniqueName="[Table1]" displayFolder="" count="0" memberValueDatatype="130" unbalanced="0"/>
    <cacheHierarchy uniqueName="[Table1].[Project_Expected_Status]" caption="Project_Expected_Status" attribute="1" defaultMemberUniqueName="[Table1].[Project_Expected_Status].[All]" allUniqueName="[Table1].[Project_Expected_Status].[All]" dimensionUniqueName="[Table1]" displayFolder="" count="0" memberValueDatatype="130" unbalanced="0"/>
    <cacheHierarchy uniqueName="[Table1].[Project_Status_Check]" caption="Project_Status_Check" attribute="1" defaultMemberUniqueName="[Table1].[Project_Status_Check].[All]" allUniqueName="[Table1].[Project_Status_Check].[All]" dimensionUniqueName="[Table1]" displayFolder="" count="0" memberValueDatatype="130" unbalanced="0"/>
    <cacheHierarchy uniqueName="[Table1].[Last_Updated]" caption="Last_Updated" attribute="1" time="1" defaultMemberUniqueName="[Table1].[Last_Updated].[All]" allUniqueName="[Table1].[Last_Updated].[All]" dimensionUniqueName="[Table1]" displayFolder="" count="0" memberValueDatatype="7" unbalanced="0"/>
    <cacheHierarchy uniqueName="[Table1].[Schedule_Variance]" caption="Schedule_Variance" attribute="1" defaultMemberUniqueName="[Table1].[Schedule_Variance].[All]" allUniqueName="[Table1].[Schedule_Variance].[All]" dimensionUniqueName="[Table1]" displayFolder="" count="0" memberValueDatatype="20" unbalanced="0"/>
    <cacheHierarchy uniqueName="[Table1].[Schedule_Status]" caption="Schedule_Status" attribute="1" defaultMemberUniqueName="[Table1].[Schedule_Status].[All]" allUniqueName="[Table1].[Schedule_Status].[All]" dimensionUniqueName="[Table1]" displayFolder="" count="0" memberValueDatatype="130" unbalanced="0"/>
    <cacheHierarchy uniqueName="[Table1].[Cost_Variance]" caption="Cost_Variance" attribute="1" defaultMemberUniqueName="[Table1].[Cost_Variance].[All]" allUniqueName="[Table1].[Cost_Variance].[All]" dimensionUniqueName="[Table1]" displayFolder="" count="0" memberValueDatatype="130" unbalanced="0"/>
    <cacheHierarchy uniqueName="[Table1].[Cost_Variance_Percentage]" caption="Cost_Variance_Percentage" attribute="1" defaultMemberUniqueName="[Table1].[Cost_Variance_Percentage].[All]" allUniqueName="[Table1].[Cost_Variance_Percentage].[All]" dimensionUniqueName="[Table1]" displayFolder="" count="0" memberValueDatatype="130" unbalanced="0"/>
    <cacheHierarchy uniqueName="[Table1].[Budget_Status]" caption="Budget_Status" attribute="1" defaultMemberUniqueName="[Table1].[Budget_Status].[All]" allUniqueName="[Table1].[Budget_Status].[All]" dimensionUniqueName="[Table1]" displayFolder="" count="0" memberValueDatatype="130" unbalanced="0"/>
    <cacheHierarchy uniqueName="[Table1].[Cost_Variance_Pivot]" caption="Cost_Variance_Pivot" attribute="1" defaultMemberUniqueName="[Table1].[Cost_Variance_Pivot].[All]" allUniqueName="[Table1].[Cost_Variance_Pivot].[All]" dimensionUniqueName="[Table1]" displayFolder="" count="0" memberValueDatatype="5" unbalanced="0"/>
    <cacheHierarchy uniqueName="[Table1].[Cost_Variance_Percentage_Pivot]" caption="Cost_Variance_Percentage_Pivot" attribute="1" defaultMemberUniqueName="[Table1].[Cost_Variance_Percentage_Pivot].[All]" allUniqueName="[Table1].[Cost_Variance_Percentage_Pivot].[All]" dimensionUniqueName="[Table1]" displayFolder="" count="0" memberValueDatatype="5" unbalanced="0"/>
    <cacheHierarchy uniqueName="[Table1].[Latest_Record_Flag]" caption="Latest_Record_Flag" attribute="1" defaultMemberUniqueName="[Table1].[Latest_Record_Flag].[All]" allUniqueName="[Table1].[Latest_Record_Flag].[All]" dimensionUniqueName="[Table1]" displayFolder="" count="0" memberValueDatatype="130" unbalanced="0"/>
    <cacheHierarchy uniqueName="[Table1].[Valid_Date_Count]" caption="Valid_Date_Count" attribute="1" defaultMemberUniqueName="[Table1].[Valid_Date_Count].[All]" allUniqueName="[Table1].[Valid_Date_Count].[All]" dimensionUniqueName="[Table1]" displayFolder="" count="0" memberValueDatatype="20" unbalanced="0"/>
    <cacheHierarchy uniqueName="[Table1].[Latest_Count]" caption="Latest_Count" attribute="1" defaultMemberUniqueName="[Table1].[Latest_Count].[All]" allUniqueName="[Table1].[Latest_Count].[All]" dimensionUniqueName="[Table1]" displayFolder="" count="0" memberValueDatatype="20" unbalanced="0"/>
    <cacheHierarchy uniqueName="[Table1].[Record_Review_Flag]" caption="Record_Review_Flag" attribute="1" defaultMemberUniqueName="[Table1].[Record_Review_Flag].[All]" allUniqueName="[Table1].[Record_Review_Flag].[All]" dimensionUniqueName="[Table1]" displayFolder="" count="0" memberValueDatatype="130" unbalanced="0"/>
    <cacheHierarchy uniqueName="[Table1].[Latest_Record_Check]" caption="Latest_Record_Check" attribute="1" defaultMemberUniqueName="[Table1].[Latest_Record_Check].[All]" allUniqueName="[Table1].[Latest_Record_Check].[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roject_ID]" caption="Count of Project_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roject_ID]" caption="Distinct Count of Project_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Schedule_Variance]" caption="Sum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Average of Schedule_Variance]" caption="Average of Schedule_Variance" measure="1" displayFolder="" measureGroup="Table1"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Schedule_Variance]" caption="Count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Sum of Budget_ZAR]" caption="Sum of Budget_ZAR" measure="1" displayFolder="" measureGroup="Table1" count="0" hidden="1">
      <extLst>
        <ext xmlns:x15="http://schemas.microsoft.com/office/spreadsheetml/2010/11/main" uri="{B97F6D7D-B522-45F9-BDA1-12C45D357490}">
          <x15:cacheHierarchy aggregatedColumn="11"/>
        </ext>
      </extLst>
    </cacheHierarchy>
    <cacheHierarchy uniqueName="[Measures].[Sum of Actual_Cost_ZAR]" caption="Sum of Actual_Cost_ZAR" measure="1" displayFolder="" measureGroup="Table1" count="0" hidden="1">
      <extLst>
        <ext xmlns:x15="http://schemas.microsoft.com/office/spreadsheetml/2010/11/main" uri="{B97F6D7D-B522-45F9-BDA1-12C45D357490}">
          <x15:cacheHierarchy aggregatedColumn="13"/>
        </ext>
      </extLst>
    </cacheHierarchy>
    <cacheHierarchy uniqueName="[Measures].[Count of Cost_Variance]" caption="Count of Cost_Variance" measure="1" displayFolder="" measureGroup="Table1" count="0" hidden="1">
      <extLst>
        <ext xmlns:x15="http://schemas.microsoft.com/office/spreadsheetml/2010/11/main" uri="{B97F6D7D-B522-45F9-BDA1-12C45D357490}">
          <x15:cacheHierarchy aggregatedColumn="23"/>
        </ext>
      </extLst>
    </cacheHierarchy>
    <cacheHierarchy uniqueName="[Measures].[Count of Cost_Variance_Percentage]" caption="Count of Cost_Variance_Percentage" measure="1" displayFolder="" measureGroup="Table1" count="0" hidden="1">
      <extLst>
        <ext xmlns:x15="http://schemas.microsoft.com/office/spreadsheetml/2010/11/main" uri="{B97F6D7D-B522-45F9-BDA1-12C45D357490}">
          <x15:cacheHierarchy aggregatedColumn="24"/>
        </ext>
      </extLst>
    </cacheHierarchy>
    <cacheHierarchy uniqueName="[Measures].[Sum of Cost_Variance_Pivot]" caption="Sum of Cost_Variance_Pivot" measure="1" displayFolder="" measureGroup="Table1" count="0" hidden="1">
      <extLst>
        <ext xmlns:x15="http://schemas.microsoft.com/office/spreadsheetml/2010/11/main" uri="{B97F6D7D-B522-45F9-BDA1-12C45D357490}">
          <x15:cacheHierarchy aggregatedColumn="26"/>
        </ext>
      </extLst>
    </cacheHierarchy>
    <cacheHierarchy uniqueName="[Measures].[Sum of Cost_Variance_Percentage_Pivot]" caption="Sum of Cost_Variance_Percentage_Pivot" measure="1" displayFolder="" measureGroup="Table1" count="0" hidden="1">
      <extLst>
        <ext xmlns:x15="http://schemas.microsoft.com/office/spreadsheetml/2010/11/main" uri="{B97F6D7D-B522-45F9-BDA1-12C45D357490}">
          <x15:cacheHierarchy aggregatedColumn="27"/>
        </ext>
      </extLst>
    </cacheHierarchy>
    <cacheHierarchy uniqueName="[Measures].[Average of Cost_Variance_Percentage_Pivot]" caption="Average of Cost_Variance_Percentage_Pivot" measure="1" displayFolder="" measureGroup="Table1" count="0" hidden="1">
      <extLst>
        <ext xmlns:x15="http://schemas.microsoft.com/office/spreadsheetml/2010/11/main" uri="{B97F6D7D-B522-45F9-BDA1-12C45D357490}">
          <x15:cacheHierarchy aggregatedColumn="27"/>
        </ext>
      </extLst>
    </cacheHierarchy>
    <cacheHierarchy uniqueName="[Measures].[Average of Cost_Variance_Pivot]" caption="Average of Cost_Variance_Pivot" measure="1" displayFolder="" measureGroup="Table1" count="0" oneField="1" hidden="1">
      <fieldsUsage count="1">
        <fieldUsage x="3"/>
      </fieldsUsage>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onia Patience Munedzimwe" refreshedDate="46308.93281273148" backgroundQuery="1" createdVersion="8" refreshedVersion="8" minRefreshableVersion="3" recordCount="0" supportSubquery="1" supportAdvancedDrill="1" xr:uid="{7BFA5CEB-4FC2-4C0D-8924-5E37DEF13A0F}">
  <cacheSource type="external" connectionId="1"/>
  <cacheFields count="2">
    <cacheField name="[Table1].[Cost_Data _Flag].[Cost_Data _Flag]" caption="Cost_Data _Flag" numFmtId="0" hierarchy="15" level="1">
      <sharedItems count="3">
        <s v="Actual Cost Missing"/>
        <s v="Budget Missing"/>
        <s v="Complete"/>
      </sharedItems>
    </cacheField>
    <cacheField name="[Measures].[Distinct Count of Project_ID]" caption="Distinct Count of Project_ID" numFmtId="0" hierarchy="36" level="32767"/>
  </cacheFields>
  <cacheHierarchies count="48">
    <cacheHierarchy uniqueName="[Table1].[Record_ID]" caption="Record_ID" attribute="1" defaultMemberUniqueName="[Table1].[Record_ID].[All]" allUniqueName="[Table1].[Record_ID].[All]" dimensionUniqueName="[Table1]" displayFolder="" count="0" memberValueDatatype="130" unbalanced="0"/>
    <cacheHierarchy uniqueName="[Table1].[Project_ID]" caption="Project_ID" attribute="1" defaultMemberUniqueName="[Table1].[Project_ID].[All]" allUniqueName="[Table1].[Project_ID].[All]" dimensionUniqueName="[Table1]" displayFolder="" count="0" memberValueDatatype="130" unbalanced="0"/>
    <cacheHierarchy uniqueName="[Table1].[Project_Name]" caption="Project_Name" attribute="1" defaultMemberUniqueName="[Table1].[Project_Name].[All]" allUniqueName="[Table1].[Project_Name].[All]" dimensionUniqueName="[Table1]" displayFolder="" count="0" memberValueDatatype="130" unbalanced="0"/>
    <cacheHierarchy uniqueName="[Table1].[Site_Location]" caption="Site_Location" attribute="1" defaultMemberUniqueName="[Table1].[Site_Location].[All]" allUniqueName="[Table1].[Site_Location].[All]" dimensionUniqueName="[Table1]" displayFolder="" count="0" memberValueDatatype="130" unbalanced="0"/>
    <cacheHierarchy uniqueName="[Table1].[Project_Type]" caption="Project_Type" attribute="1" defaultMemberUniqueName="[Table1].[Project_Type].[All]" allUniqueName="[Table1].[Project_Type].[All]" dimensionUniqueName="[Table1]" displayFolder="" count="0" memberValueDatatype="130" unbalanced="0"/>
    <cacheHierarchy uniqueName="[Table1].[Project_Manager]" caption="Project_Manager" attribute="1" defaultMemberUniqueName="[Table1].[Project_Manager].[All]" allUniqueName="[Table1].[Project_Manager].[All]" dimensionUniqueName="[Table1]" displayFolder="" count="0" memberValueDatatype="130" unbalanced="0"/>
    <cacheHierarchy uniqueName="[Table1].[Main_Contractor]" caption="Main_Contractor" attribute="1" defaultMemberUniqueName="[Table1].[Main_Contractor].[All]" allUniqueName="[Table1].[Main_Contractor].[All]" dimensionUniqueName="[Table1]" displayFolder="" count="0" memberValueDatatype="130" unbalanced="0"/>
    <cacheHierarchy uniqueName="[Table1].[Material_Category]" caption="Material_Category" attribute="1" defaultMemberUniqueName="[Table1].[Material_Category].[All]" allUniqueName="[Table1].[Material_Category].[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Planned_Duration_Days]" caption="Planned_Duration_Days" attribute="1" defaultMemberUniqueName="[Table1].[Planned_Duration_Days].[All]" allUniqueName="[Table1].[Planned_Duration_Days].[All]" dimensionUniqueName="[Table1]" displayFolder="" count="0" memberValueDatatype="20" unbalanced="0"/>
    <cacheHierarchy uniqueName="[Table1].[Actual_Duration_Days]" caption="Actual_Duration_Days" attribute="1" defaultMemberUniqueName="[Table1].[Actual_Duration_Days].[All]" allUniqueName="[Table1].[Actual_Duration_Days].[All]" dimensionUniqueName="[Table1]" displayFolder="" count="0" memberValueDatatype="20" unbalanced="0"/>
    <cacheHierarchy uniqueName="[Table1].[Budget_ZAR]" caption="Budget_ZAR" attribute="1" defaultMemberUniqueName="[Table1].[Budget_ZAR].[All]" allUniqueName="[Table1].[Budget_ZAR].[All]" dimensionUniqueName="[Table1]" displayFolder="" count="0" memberValueDatatype="5" unbalanced="0"/>
    <cacheHierarchy uniqueName="[Table1].[Budget_Missing]" caption="Budget_Missing" attribute="1" defaultMemberUniqueName="[Table1].[Budget_Missing].[All]" allUniqueName="[Table1].[Budget_Missing].[All]" dimensionUniqueName="[Table1]" displayFolder="" count="0" memberValueDatatype="130" unbalanced="0"/>
    <cacheHierarchy uniqueName="[Table1].[Actual_Cost_ZAR]" caption="Actual_Cost_ZAR" attribute="1" defaultMemberUniqueName="[Table1].[Actual_Cost_ZAR].[All]" allUniqueName="[Table1].[Actual_Cost_ZAR].[All]" dimensionUniqueName="[Table1]" displayFolder="" count="0" memberValueDatatype="5" unbalanced="0"/>
    <cacheHierarchy uniqueName="[Table1].[Actual_Missing]" caption="Actual_Missing" attribute="1" defaultMemberUniqueName="[Table1].[Actual_Missing].[All]" allUniqueName="[Table1].[Actual_Missing].[All]" dimensionUniqueName="[Table1]" displayFolder="" count="0" memberValueDatatype="130" unbalanced="0"/>
    <cacheHierarchy uniqueName="[Table1].[Cost_Data _Flag]" caption="Cost_Data _Flag" attribute="1" defaultMemberUniqueName="[Table1].[Cost_Data _Flag].[All]" allUniqueName="[Table1].[Cost_Data _Flag].[All]" dimensionUniqueName="[Table1]" displayFolder="" count="2" memberValueDatatype="130" unbalanced="0">
      <fieldsUsage count="2">
        <fieldUsage x="-1"/>
        <fieldUsage x="0"/>
      </fieldsUsage>
    </cacheHierarchy>
    <cacheHierarchy uniqueName="[Table1].[Progress_Percent]" caption="Progress_Percent" attribute="1" defaultMemberUniqueName="[Table1].[Progress_Percent].[All]" allUniqueName="[Table1].[Progress_Percent].[All]" dimensionUniqueName="[Table1]" displayFolder="" count="0" memberValueDatatype="130" unbalanced="0"/>
    <cacheHierarchy uniqueName="[Table1].[Project_Status]" caption="Project_Status" attribute="1" defaultMemberUniqueName="[Table1].[Project_Status].[All]" allUniqueName="[Table1].[Project_Status].[All]" dimensionUniqueName="[Table1]" displayFolder="" count="0" memberValueDatatype="130" unbalanced="0"/>
    <cacheHierarchy uniqueName="[Table1].[Project_Expected_Status]" caption="Project_Expected_Status" attribute="1" defaultMemberUniqueName="[Table1].[Project_Expected_Status].[All]" allUniqueName="[Table1].[Project_Expected_Status].[All]" dimensionUniqueName="[Table1]" displayFolder="" count="0" memberValueDatatype="130" unbalanced="0"/>
    <cacheHierarchy uniqueName="[Table1].[Project_Status_Check]" caption="Project_Status_Check" attribute="1" defaultMemberUniqueName="[Table1].[Project_Status_Check].[All]" allUniqueName="[Table1].[Project_Status_Check].[All]" dimensionUniqueName="[Table1]" displayFolder="" count="0" memberValueDatatype="130" unbalanced="0"/>
    <cacheHierarchy uniqueName="[Table1].[Last_Updated]" caption="Last_Updated" attribute="1" time="1" defaultMemberUniqueName="[Table1].[Last_Updated].[All]" allUniqueName="[Table1].[Last_Updated].[All]" dimensionUniqueName="[Table1]" displayFolder="" count="0" memberValueDatatype="7" unbalanced="0"/>
    <cacheHierarchy uniqueName="[Table1].[Schedule_Variance]" caption="Schedule_Variance" attribute="1" defaultMemberUniqueName="[Table1].[Schedule_Variance].[All]" allUniqueName="[Table1].[Schedule_Variance].[All]" dimensionUniqueName="[Table1]" displayFolder="" count="0" memberValueDatatype="20" unbalanced="0"/>
    <cacheHierarchy uniqueName="[Table1].[Schedule_Status]" caption="Schedule_Status" attribute="1" defaultMemberUniqueName="[Table1].[Schedule_Status].[All]" allUniqueName="[Table1].[Schedule_Status].[All]" dimensionUniqueName="[Table1]" displayFolder="" count="0" memberValueDatatype="130" unbalanced="0"/>
    <cacheHierarchy uniqueName="[Table1].[Cost_Variance]" caption="Cost_Variance" attribute="1" defaultMemberUniqueName="[Table1].[Cost_Variance].[All]" allUniqueName="[Table1].[Cost_Variance].[All]" dimensionUniqueName="[Table1]" displayFolder="" count="0" memberValueDatatype="130" unbalanced="0"/>
    <cacheHierarchy uniqueName="[Table1].[Cost_Variance_Percentage]" caption="Cost_Variance_Percentage" attribute="1" defaultMemberUniqueName="[Table1].[Cost_Variance_Percentage].[All]" allUniqueName="[Table1].[Cost_Variance_Percentage].[All]" dimensionUniqueName="[Table1]" displayFolder="" count="0" memberValueDatatype="130" unbalanced="0"/>
    <cacheHierarchy uniqueName="[Table1].[Budget_Status]" caption="Budget_Status" attribute="1" defaultMemberUniqueName="[Table1].[Budget_Status].[All]" allUniqueName="[Table1].[Budget_Status].[All]" dimensionUniqueName="[Table1]" displayFolder="" count="0" memberValueDatatype="130" unbalanced="0"/>
    <cacheHierarchy uniqueName="[Table1].[Cost_Variance_Pivot]" caption="Cost_Variance_Pivot" attribute="1" defaultMemberUniqueName="[Table1].[Cost_Variance_Pivot].[All]" allUniqueName="[Table1].[Cost_Variance_Pivot].[All]" dimensionUniqueName="[Table1]" displayFolder="" count="0" memberValueDatatype="5" unbalanced="0"/>
    <cacheHierarchy uniqueName="[Table1].[Cost_Variance_Percentage_Pivot]" caption="Cost_Variance_Percentage_Pivot" attribute="1" defaultMemberUniqueName="[Table1].[Cost_Variance_Percentage_Pivot].[All]" allUniqueName="[Table1].[Cost_Variance_Percentage_Pivot].[All]" dimensionUniqueName="[Table1]" displayFolder="" count="0" memberValueDatatype="5" unbalanced="0"/>
    <cacheHierarchy uniqueName="[Table1].[Latest_Record_Flag]" caption="Latest_Record_Flag" attribute="1" defaultMemberUniqueName="[Table1].[Latest_Record_Flag].[All]" allUniqueName="[Table1].[Latest_Record_Flag].[All]" dimensionUniqueName="[Table1]" displayFolder="" count="0" memberValueDatatype="130" unbalanced="0"/>
    <cacheHierarchy uniqueName="[Table1].[Valid_Date_Count]" caption="Valid_Date_Count" attribute="1" defaultMemberUniqueName="[Table1].[Valid_Date_Count].[All]" allUniqueName="[Table1].[Valid_Date_Count].[All]" dimensionUniqueName="[Table1]" displayFolder="" count="0" memberValueDatatype="20" unbalanced="0"/>
    <cacheHierarchy uniqueName="[Table1].[Latest_Count]" caption="Latest_Count" attribute="1" defaultMemberUniqueName="[Table1].[Latest_Count].[All]" allUniqueName="[Table1].[Latest_Count].[All]" dimensionUniqueName="[Table1]" displayFolder="" count="0" memberValueDatatype="20" unbalanced="0"/>
    <cacheHierarchy uniqueName="[Table1].[Record_Review_Flag]" caption="Record_Review_Flag" attribute="1" defaultMemberUniqueName="[Table1].[Record_Review_Flag].[All]" allUniqueName="[Table1].[Record_Review_Flag].[All]" dimensionUniqueName="[Table1]" displayFolder="" count="0" memberValueDatatype="130" unbalanced="0"/>
    <cacheHierarchy uniqueName="[Table1].[Latest_Record_Check]" caption="Latest_Record_Check" attribute="1" defaultMemberUniqueName="[Table1].[Latest_Record_Check].[All]" allUniqueName="[Table1].[Latest_Record_Check].[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roject_ID]" caption="Count of Project_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roject_ID]" caption="Distinct Count of Project_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Schedule_Variance]" caption="Sum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Average of Schedule_Variance]" caption="Average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Count of Schedule_Variance]" caption="Count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Sum of Budget_ZAR]" caption="Sum of Budget_ZAR" measure="1" displayFolder="" measureGroup="Table1" count="0" hidden="1">
      <extLst>
        <ext xmlns:x15="http://schemas.microsoft.com/office/spreadsheetml/2010/11/main" uri="{B97F6D7D-B522-45F9-BDA1-12C45D357490}">
          <x15:cacheHierarchy aggregatedColumn="11"/>
        </ext>
      </extLst>
    </cacheHierarchy>
    <cacheHierarchy uniqueName="[Measures].[Sum of Actual_Cost_ZAR]" caption="Sum of Actual_Cost_ZAR" measure="1" displayFolder="" measureGroup="Table1" count="0" hidden="1">
      <extLst>
        <ext xmlns:x15="http://schemas.microsoft.com/office/spreadsheetml/2010/11/main" uri="{B97F6D7D-B522-45F9-BDA1-12C45D357490}">
          <x15:cacheHierarchy aggregatedColumn="13"/>
        </ext>
      </extLst>
    </cacheHierarchy>
    <cacheHierarchy uniqueName="[Measures].[Count of Cost_Variance]" caption="Count of Cost_Variance" measure="1" displayFolder="" measureGroup="Table1" count="0" hidden="1">
      <extLst>
        <ext xmlns:x15="http://schemas.microsoft.com/office/spreadsheetml/2010/11/main" uri="{B97F6D7D-B522-45F9-BDA1-12C45D357490}">
          <x15:cacheHierarchy aggregatedColumn="23"/>
        </ext>
      </extLst>
    </cacheHierarchy>
    <cacheHierarchy uniqueName="[Measures].[Count of Cost_Variance_Percentage]" caption="Count of Cost_Variance_Percentage" measure="1" displayFolder="" measureGroup="Table1" count="0" hidden="1">
      <extLst>
        <ext xmlns:x15="http://schemas.microsoft.com/office/spreadsheetml/2010/11/main" uri="{B97F6D7D-B522-45F9-BDA1-12C45D357490}">
          <x15:cacheHierarchy aggregatedColumn="24"/>
        </ext>
      </extLst>
    </cacheHierarchy>
    <cacheHierarchy uniqueName="[Measures].[Sum of Cost_Variance_Pivot]" caption="Sum of Cost_Variance_Pivot" measure="1" displayFolder="" measureGroup="Table1" count="0" hidden="1">
      <extLst>
        <ext xmlns:x15="http://schemas.microsoft.com/office/spreadsheetml/2010/11/main" uri="{B97F6D7D-B522-45F9-BDA1-12C45D357490}">
          <x15:cacheHierarchy aggregatedColumn="26"/>
        </ext>
      </extLst>
    </cacheHierarchy>
    <cacheHierarchy uniqueName="[Measures].[Sum of Cost_Variance_Percentage_Pivot]" caption="Sum of Cost_Variance_Percentage_Pivot" measure="1" displayFolder="" measureGroup="Table1" count="0" hidden="1">
      <extLst>
        <ext xmlns:x15="http://schemas.microsoft.com/office/spreadsheetml/2010/11/main" uri="{B97F6D7D-B522-45F9-BDA1-12C45D357490}">
          <x15:cacheHierarchy aggregatedColumn="27"/>
        </ext>
      </extLst>
    </cacheHierarchy>
    <cacheHierarchy uniqueName="[Measures].[Average of Cost_Variance_Percentage_Pivot]" caption="Average of Cost_Variance_Percentage_Pivot" measure="1" displayFolder="" measureGroup="Table1" count="0" hidden="1">
      <extLst>
        <ext xmlns:x15="http://schemas.microsoft.com/office/spreadsheetml/2010/11/main" uri="{B97F6D7D-B522-45F9-BDA1-12C45D357490}">
          <x15:cacheHierarchy aggregatedColumn="27"/>
        </ext>
      </extLst>
    </cacheHierarchy>
    <cacheHierarchy uniqueName="[Measures].[Average of Cost_Variance_Pivot]" caption="Average of Cost_Variance_Pivot" measure="1" displayFolder="" measureGroup="Table1"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onia Patience Munedzimwe" refreshedDate="46308.932814351851" backgroundQuery="1" createdVersion="8" refreshedVersion="8" minRefreshableVersion="3" recordCount="0" supportSubquery="1" supportAdvancedDrill="1" xr:uid="{FE69BA38-C76D-4408-B179-DD1813A38D8E}">
  <cacheSource type="external" connectionId="1"/>
  <cacheFields count="2">
    <cacheField name="[Table1].[Schedule_Status].[Schedule_Status]" caption="Schedule_Status" numFmtId="0" hierarchy="22" level="1">
      <sharedItems count="3">
        <s v="Ahead of Schedule"/>
        <s v="Behind Schedule"/>
        <s v="On Schedule"/>
      </sharedItems>
    </cacheField>
    <cacheField name="[Measures].[Distinct Count of Project_ID]" caption="Distinct Count of Project_ID" numFmtId="0" hierarchy="36" level="32767"/>
  </cacheFields>
  <cacheHierarchies count="48">
    <cacheHierarchy uniqueName="[Table1].[Record_ID]" caption="Record_ID" attribute="1" defaultMemberUniqueName="[Table1].[Record_ID].[All]" allUniqueName="[Table1].[Record_ID].[All]" dimensionUniqueName="[Table1]" displayFolder="" count="0" memberValueDatatype="130" unbalanced="0"/>
    <cacheHierarchy uniqueName="[Table1].[Project_ID]" caption="Project_ID" attribute="1" defaultMemberUniqueName="[Table1].[Project_ID].[All]" allUniqueName="[Table1].[Project_ID].[All]" dimensionUniqueName="[Table1]" displayFolder="" count="0" memberValueDatatype="130" unbalanced="0"/>
    <cacheHierarchy uniqueName="[Table1].[Project_Name]" caption="Project_Name" attribute="1" defaultMemberUniqueName="[Table1].[Project_Name].[All]" allUniqueName="[Table1].[Project_Name].[All]" dimensionUniqueName="[Table1]" displayFolder="" count="0" memberValueDatatype="130" unbalanced="0"/>
    <cacheHierarchy uniqueName="[Table1].[Site_Location]" caption="Site_Location" attribute="1" defaultMemberUniqueName="[Table1].[Site_Location].[All]" allUniqueName="[Table1].[Site_Location].[All]" dimensionUniqueName="[Table1]" displayFolder="" count="0" memberValueDatatype="130" unbalanced="0"/>
    <cacheHierarchy uniqueName="[Table1].[Project_Type]" caption="Project_Type" attribute="1" defaultMemberUniqueName="[Table1].[Project_Type].[All]" allUniqueName="[Table1].[Project_Type].[All]" dimensionUniqueName="[Table1]" displayFolder="" count="0" memberValueDatatype="130" unbalanced="0"/>
    <cacheHierarchy uniqueName="[Table1].[Project_Manager]" caption="Project_Manager" attribute="1" defaultMemberUniqueName="[Table1].[Project_Manager].[All]" allUniqueName="[Table1].[Project_Manager].[All]" dimensionUniqueName="[Table1]" displayFolder="" count="0" memberValueDatatype="130" unbalanced="0"/>
    <cacheHierarchy uniqueName="[Table1].[Main_Contractor]" caption="Main_Contractor" attribute="1" defaultMemberUniqueName="[Table1].[Main_Contractor].[All]" allUniqueName="[Table1].[Main_Contractor].[All]" dimensionUniqueName="[Table1]" displayFolder="" count="0" memberValueDatatype="130" unbalanced="0"/>
    <cacheHierarchy uniqueName="[Table1].[Material_Category]" caption="Material_Category" attribute="1" defaultMemberUniqueName="[Table1].[Material_Category].[All]" allUniqueName="[Table1].[Material_Category].[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Planned_Duration_Days]" caption="Planned_Duration_Days" attribute="1" defaultMemberUniqueName="[Table1].[Planned_Duration_Days].[All]" allUniqueName="[Table1].[Planned_Duration_Days].[All]" dimensionUniqueName="[Table1]" displayFolder="" count="0" memberValueDatatype="20" unbalanced="0"/>
    <cacheHierarchy uniqueName="[Table1].[Actual_Duration_Days]" caption="Actual_Duration_Days" attribute="1" defaultMemberUniqueName="[Table1].[Actual_Duration_Days].[All]" allUniqueName="[Table1].[Actual_Duration_Days].[All]" dimensionUniqueName="[Table1]" displayFolder="" count="0" memberValueDatatype="20" unbalanced="0"/>
    <cacheHierarchy uniqueName="[Table1].[Budget_ZAR]" caption="Budget_ZAR" attribute="1" defaultMemberUniqueName="[Table1].[Budget_ZAR].[All]" allUniqueName="[Table1].[Budget_ZAR].[All]" dimensionUniqueName="[Table1]" displayFolder="" count="0" memberValueDatatype="5" unbalanced="0"/>
    <cacheHierarchy uniqueName="[Table1].[Budget_Missing]" caption="Budget_Missing" attribute="1" defaultMemberUniqueName="[Table1].[Budget_Missing].[All]" allUniqueName="[Table1].[Budget_Missing].[All]" dimensionUniqueName="[Table1]" displayFolder="" count="0" memberValueDatatype="130" unbalanced="0"/>
    <cacheHierarchy uniqueName="[Table1].[Actual_Cost_ZAR]" caption="Actual_Cost_ZAR" attribute="1" defaultMemberUniqueName="[Table1].[Actual_Cost_ZAR].[All]" allUniqueName="[Table1].[Actual_Cost_ZAR].[All]" dimensionUniqueName="[Table1]" displayFolder="" count="0" memberValueDatatype="5" unbalanced="0"/>
    <cacheHierarchy uniqueName="[Table1].[Actual_Missing]" caption="Actual_Missing" attribute="1" defaultMemberUniqueName="[Table1].[Actual_Missing].[All]" allUniqueName="[Table1].[Actual_Missing].[All]" dimensionUniqueName="[Table1]" displayFolder="" count="0" memberValueDatatype="130" unbalanced="0"/>
    <cacheHierarchy uniqueName="[Table1].[Cost_Data _Flag]" caption="Cost_Data _Flag" attribute="1" defaultMemberUniqueName="[Table1].[Cost_Data _Flag].[All]" allUniqueName="[Table1].[Cost_Data _Flag].[All]" dimensionUniqueName="[Table1]" displayFolder="" count="0" memberValueDatatype="130" unbalanced="0"/>
    <cacheHierarchy uniqueName="[Table1].[Progress_Percent]" caption="Progress_Percent" attribute="1" defaultMemberUniqueName="[Table1].[Progress_Percent].[All]" allUniqueName="[Table1].[Progress_Percent].[All]" dimensionUniqueName="[Table1]" displayFolder="" count="0" memberValueDatatype="130" unbalanced="0"/>
    <cacheHierarchy uniqueName="[Table1].[Project_Status]" caption="Project_Status" attribute="1" defaultMemberUniqueName="[Table1].[Project_Status].[All]" allUniqueName="[Table1].[Project_Status].[All]" dimensionUniqueName="[Table1]" displayFolder="" count="0" memberValueDatatype="130" unbalanced="0"/>
    <cacheHierarchy uniqueName="[Table1].[Project_Expected_Status]" caption="Project_Expected_Status" attribute="1" defaultMemberUniqueName="[Table1].[Project_Expected_Status].[All]" allUniqueName="[Table1].[Project_Expected_Status].[All]" dimensionUniqueName="[Table1]" displayFolder="" count="0" memberValueDatatype="130" unbalanced="0"/>
    <cacheHierarchy uniqueName="[Table1].[Project_Status_Check]" caption="Project_Status_Check" attribute="1" defaultMemberUniqueName="[Table1].[Project_Status_Check].[All]" allUniqueName="[Table1].[Project_Status_Check].[All]" dimensionUniqueName="[Table1]" displayFolder="" count="0" memberValueDatatype="130" unbalanced="0"/>
    <cacheHierarchy uniqueName="[Table1].[Last_Updated]" caption="Last_Updated" attribute="1" time="1" defaultMemberUniqueName="[Table1].[Last_Updated].[All]" allUniqueName="[Table1].[Last_Updated].[All]" dimensionUniqueName="[Table1]" displayFolder="" count="0" memberValueDatatype="7" unbalanced="0"/>
    <cacheHierarchy uniqueName="[Table1].[Schedule_Variance]" caption="Schedule_Variance" attribute="1" defaultMemberUniqueName="[Table1].[Schedule_Variance].[All]" allUniqueName="[Table1].[Schedule_Variance].[All]" dimensionUniqueName="[Table1]" displayFolder="" count="0" memberValueDatatype="20" unbalanced="0"/>
    <cacheHierarchy uniqueName="[Table1].[Schedule_Status]" caption="Schedule_Status" attribute="1" defaultMemberUniqueName="[Table1].[Schedule_Status].[All]" allUniqueName="[Table1].[Schedule_Status].[All]" dimensionUniqueName="[Table1]" displayFolder="" count="2" memberValueDatatype="130" unbalanced="0">
      <fieldsUsage count="2">
        <fieldUsage x="-1"/>
        <fieldUsage x="0"/>
      </fieldsUsage>
    </cacheHierarchy>
    <cacheHierarchy uniqueName="[Table1].[Cost_Variance]" caption="Cost_Variance" attribute="1" defaultMemberUniqueName="[Table1].[Cost_Variance].[All]" allUniqueName="[Table1].[Cost_Variance].[All]" dimensionUniqueName="[Table1]" displayFolder="" count="0" memberValueDatatype="130" unbalanced="0"/>
    <cacheHierarchy uniqueName="[Table1].[Cost_Variance_Percentage]" caption="Cost_Variance_Percentage" attribute="1" defaultMemberUniqueName="[Table1].[Cost_Variance_Percentage].[All]" allUniqueName="[Table1].[Cost_Variance_Percentage].[All]" dimensionUniqueName="[Table1]" displayFolder="" count="0" memberValueDatatype="130" unbalanced="0"/>
    <cacheHierarchy uniqueName="[Table1].[Budget_Status]" caption="Budget_Status" attribute="1" defaultMemberUniqueName="[Table1].[Budget_Status].[All]" allUniqueName="[Table1].[Budget_Status].[All]" dimensionUniqueName="[Table1]" displayFolder="" count="0" memberValueDatatype="130" unbalanced="0"/>
    <cacheHierarchy uniqueName="[Table1].[Cost_Variance_Pivot]" caption="Cost_Variance_Pivot" attribute="1" defaultMemberUniqueName="[Table1].[Cost_Variance_Pivot].[All]" allUniqueName="[Table1].[Cost_Variance_Pivot].[All]" dimensionUniqueName="[Table1]" displayFolder="" count="0" memberValueDatatype="5" unbalanced="0"/>
    <cacheHierarchy uniqueName="[Table1].[Cost_Variance_Percentage_Pivot]" caption="Cost_Variance_Percentage_Pivot" attribute="1" defaultMemberUniqueName="[Table1].[Cost_Variance_Percentage_Pivot].[All]" allUniqueName="[Table1].[Cost_Variance_Percentage_Pivot].[All]" dimensionUniqueName="[Table1]" displayFolder="" count="0" memberValueDatatype="5" unbalanced="0"/>
    <cacheHierarchy uniqueName="[Table1].[Latest_Record_Flag]" caption="Latest_Record_Flag" attribute="1" defaultMemberUniqueName="[Table1].[Latest_Record_Flag].[All]" allUniqueName="[Table1].[Latest_Record_Flag].[All]" dimensionUniqueName="[Table1]" displayFolder="" count="0" memberValueDatatype="130" unbalanced="0"/>
    <cacheHierarchy uniqueName="[Table1].[Valid_Date_Count]" caption="Valid_Date_Count" attribute="1" defaultMemberUniqueName="[Table1].[Valid_Date_Count].[All]" allUniqueName="[Table1].[Valid_Date_Count].[All]" dimensionUniqueName="[Table1]" displayFolder="" count="0" memberValueDatatype="20" unbalanced="0"/>
    <cacheHierarchy uniqueName="[Table1].[Latest_Count]" caption="Latest_Count" attribute="1" defaultMemberUniqueName="[Table1].[Latest_Count].[All]" allUniqueName="[Table1].[Latest_Count].[All]" dimensionUniqueName="[Table1]" displayFolder="" count="0" memberValueDatatype="20" unbalanced="0"/>
    <cacheHierarchy uniqueName="[Table1].[Record_Review_Flag]" caption="Record_Review_Flag" attribute="1" defaultMemberUniqueName="[Table1].[Record_Review_Flag].[All]" allUniqueName="[Table1].[Record_Review_Flag].[All]" dimensionUniqueName="[Table1]" displayFolder="" count="0" memberValueDatatype="130" unbalanced="0"/>
    <cacheHierarchy uniqueName="[Table1].[Latest_Record_Check]" caption="Latest_Record_Check" attribute="1" defaultMemberUniqueName="[Table1].[Latest_Record_Check].[All]" allUniqueName="[Table1].[Latest_Record_Check].[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roject_ID]" caption="Count of Project_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roject_ID]" caption="Distinct Count of Project_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Schedule_Variance]" caption="Sum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Average of Schedule_Variance]" caption="Average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Count of Schedule_Variance]" caption="Count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Sum of Budget_ZAR]" caption="Sum of Budget_ZAR" measure="1" displayFolder="" measureGroup="Table1" count="0" hidden="1">
      <extLst>
        <ext xmlns:x15="http://schemas.microsoft.com/office/spreadsheetml/2010/11/main" uri="{B97F6D7D-B522-45F9-BDA1-12C45D357490}">
          <x15:cacheHierarchy aggregatedColumn="11"/>
        </ext>
      </extLst>
    </cacheHierarchy>
    <cacheHierarchy uniqueName="[Measures].[Sum of Actual_Cost_ZAR]" caption="Sum of Actual_Cost_ZAR" measure="1" displayFolder="" measureGroup="Table1" count="0" hidden="1">
      <extLst>
        <ext xmlns:x15="http://schemas.microsoft.com/office/spreadsheetml/2010/11/main" uri="{B97F6D7D-B522-45F9-BDA1-12C45D357490}">
          <x15:cacheHierarchy aggregatedColumn="13"/>
        </ext>
      </extLst>
    </cacheHierarchy>
    <cacheHierarchy uniqueName="[Measures].[Count of Cost_Variance]" caption="Count of Cost_Variance" measure="1" displayFolder="" measureGroup="Table1" count="0" hidden="1">
      <extLst>
        <ext xmlns:x15="http://schemas.microsoft.com/office/spreadsheetml/2010/11/main" uri="{B97F6D7D-B522-45F9-BDA1-12C45D357490}">
          <x15:cacheHierarchy aggregatedColumn="23"/>
        </ext>
      </extLst>
    </cacheHierarchy>
    <cacheHierarchy uniqueName="[Measures].[Count of Cost_Variance_Percentage]" caption="Count of Cost_Variance_Percentage" measure="1" displayFolder="" measureGroup="Table1" count="0" hidden="1">
      <extLst>
        <ext xmlns:x15="http://schemas.microsoft.com/office/spreadsheetml/2010/11/main" uri="{B97F6D7D-B522-45F9-BDA1-12C45D357490}">
          <x15:cacheHierarchy aggregatedColumn="24"/>
        </ext>
      </extLst>
    </cacheHierarchy>
    <cacheHierarchy uniqueName="[Measures].[Sum of Cost_Variance_Pivot]" caption="Sum of Cost_Variance_Pivot" measure="1" displayFolder="" measureGroup="Table1" count="0" hidden="1">
      <extLst>
        <ext xmlns:x15="http://schemas.microsoft.com/office/spreadsheetml/2010/11/main" uri="{B97F6D7D-B522-45F9-BDA1-12C45D357490}">
          <x15:cacheHierarchy aggregatedColumn="26"/>
        </ext>
      </extLst>
    </cacheHierarchy>
    <cacheHierarchy uniqueName="[Measures].[Sum of Cost_Variance_Percentage_Pivot]" caption="Sum of Cost_Variance_Percentage_Pivot" measure="1" displayFolder="" measureGroup="Table1" count="0" hidden="1">
      <extLst>
        <ext xmlns:x15="http://schemas.microsoft.com/office/spreadsheetml/2010/11/main" uri="{B97F6D7D-B522-45F9-BDA1-12C45D357490}">
          <x15:cacheHierarchy aggregatedColumn="27"/>
        </ext>
      </extLst>
    </cacheHierarchy>
    <cacheHierarchy uniqueName="[Measures].[Average of Cost_Variance_Percentage_Pivot]" caption="Average of Cost_Variance_Percentage_Pivot" measure="1" displayFolder="" measureGroup="Table1" count="0" hidden="1">
      <extLst>
        <ext xmlns:x15="http://schemas.microsoft.com/office/spreadsheetml/2010/11/main" uri="{B97F6D7D-B522-45F9-BDA1-12C45D357490}">
          <x15:cacheHierarchy aggregatedColumn="27"/>
        </ext>
      </extLst>
    </cacheHierarchy>
    <cacheHierarchy uniqueName="[Measures].[Average of Cost_Variance_Pivot]" caption="Average of Cost_Variance_Pivot" measure="1" displayFolder="" measureGroup="Table1"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onia Patience Munedzimwe" refreshedDate="46308.932815972221" backgroundQuery="1" createdVersion="8" refreshedVersion="8" minRefreshableVersion="3" recordCount="0" supportSubquery="1" supportAdvancedDrill="1" xr:uid="{D7326423-1980-45C5-A732-49E1DB4123BF}">
  <cacheSource type="external" connectionId="1"/>
  <cacheFields count="2">
    <cacheField name="[Table1].[Budget_Status].[Budget_Status]" caption="Budget_Status" numFmtId="0" hierarchy="25" level="1">
      <sharedItems count="3">
        <s v="Missing Data"/>
        <s v="Over Budget"/>
        <s v="Under Budget"/>
      </sharedItems>
    </cacheField>
    <cacheField name="[Measures].[Distinct Count of Project_ID]" caption="Distinct Count of Project_ID" numFmtId="0" hierarchy="36" level="32767"/>
  </cacheFields>
  <cacheHierarchies count="48">
    <cacheHierarchy uniqueName="[Table1].[Record_ID]" caption="Record_ID" attribute="1" defaultMemberUniqueName="[Table1].[Record_ID].[All]" allUniqueName="[Table1].[Record_ID].[All]" dimensionUniqueName="[Table1]" displayFolder="" count="0" memberValueDatatype="130" unbalanced="0"/>
    <cacheHierarchy uniqueName="[Table1].[Project_ID]" caption="Project_ID" attribute="1" defaultMemberUniqueName="[Table1].[Project_ID].[All]" allUniqueName="[Table1].[Project_ID].[All]" dimensionUniqueName="[Table1]" displayFolder="" count="0" memberValueDatatype="130" unbalanced="0"/>
    <cacheHierarchy uniqueName="[Table1].[Project_Name]" caption="Project_Name" attribute="1" defaultMemberUniqueName="[Table1].[Project_Name].[All]" allUniqueName="[Table1].[Project_Name].[All]" dimensionUniqueName="[Table1]" displayFolder="" count="0" memberValueDatatype="130" unbalanced="0"/>
    <cacheHierarchy uniqueName="[Table1].[Site_Location]" caption="Site_Location" attribute="1" defaultMemberUniqueName="[Table1].[Site_Location].[All]" allUniqueName="[Table1].[Site_Location].[All]" dimensionUniqueName="[Table1]" displayFolder="" count="0" memberValueDatatype="130" unbalanced="0"/>
    <cacheHierarchy uniqueName="[Table1].[Project_Type]" caption="Project_Type" attribute="1" defaultMemberUniqueName="[Table1].[Project_Type].[All]" allUniqueName="[Table1].[Project_Type].[All]" dimensionUniqueName="[Table1]" displayFolder="" count="0" memberValueDatatype="130" unbalanced="0"/>
    <cacheHierarchy uniqueName="[Table1].[Project_Manager]" caption="Project_Manager" attribute="1" defaultMemberUniqueName="[Table1].[Project_Manager].[All]" allUniqueName="[Table1].[Project_Manager].[All]" dimensionUniqueName="[Table1]" displayFolder="" count="0" memberValueDatatype="130" unbalanced="0"/>
    <cacheHierarchy uniqueName="[Table1].[Main_Contractor]" caption="Main_Contractor" attribute="1" defaultMemberUniqueName="[Table1].[Main_Contractor].[All]" allUniqueName="[Table1].[Main_Contractor].[All]" dimensionUniqueName="[Table1]" displayFolder="" count="0" memberValueDatatype="130" unbalanced="0"/>
    <cacheHierarchy uniqueName="[Table1].[Material_Category]" caption="Material_Category" attribute="1" defaultMemberUniqueName="[Table1].[Material_Category].[All]" allUniqueName="[Table1].[Material_Category].[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Planned_Duration_Days]" caption="Planned_Duration_Days" attribute="1" defaultMemberUniqueName="[Table1].[Planned_Duration_Days].[All]" allUniqueName="[Table1].[Planned_Duration_Days].[All]" dimensionUniqueName="[Table1]" displayFolder="" count="0" memberValueDatatype="20" unbalanced="0"/>
    <cacheHierarchy uniqueName="[Table1].[Actual_Duration_Days]" caption="Actual_Duration_Days" attribute="1" defaultMemberUniqueName="[Table1].[Actual_Duration_Days].[All]" allUniqueName="[Table1].[Actual_Duration_Days].[All]" dimensionUniqueName="[Table1]" displayFolder="" count="0" memberValueDatatype="20" unbalanced="0"/>
    <cacheHierarchy uniqueName="[Table1].[Budget_ZAR]" caption="Budget_ZAR" attribute="1" defaultMemberUniqueName="[Table1].[Budget_ZAR].[All]" allUniqueName="[Table1].[Budget_ZAR].[All]" dimensionUniqueName="[Table1]" displayFolder="" count="0" memberValueDatatype="5" unbalanced="0"/>
    <cacheHierarchy uniqueName="[Table1].[Budget_Missing]" caption="Budget_Missing" attribute="1" defaultMemberUniqueName="[Table1].[Budget_Missing].[All]" allUniqueName="[Table1].[Budget_Missing].[All]" dimensionUniqueName="[Table1]" displayFolder="" count="0" memberValueDatatype="130" unbalanced="0"/>
    <cacheHierarchy uniqueName="[Table1].[Actual_Cost_ZAR]" caption="Actual_Cost_ZAR" attribute="1" defaultMemberUniqueName="[Table1].[Actual_Cost_ZAR].[All]" allUniqueName="[Table1].[Actual_Cost_ZAR].[All]" dimensionUniqueName="[Table1]" displayFolder="" count="0" memberValueDatatype="5" unbalanced="0"/>
    <cacheHierarchy uniqueName="[Table1].[Actual_Missing]" caption="Actual_Missing" attribute="1" defaultMemberUniqueName="[Table1].[Actual_Missing].[All]" allUniqueName="[Table1].[Actual_Missing].[All]" dimensionUniqueName="[Table1]" displayFolder="" count="0" memberValueDatatype="130" unbalanced="0"/>
    <cacheHierarchy uniqueName="[Table1].[Cost_Data _Flag]" caption="Cost_Data _Flag" attribute="1" defaultMemberUniqueName="[Table1].[Cost_Data _Flag].[All]" allUniqueName="[Table1].[Cost_Data _Flag].[All]" dimensionUniqueName="[Table1]" displayFolder="" count="0" memberValueDatatype="130" unbalanced="0"/>
    <cacheHierarchy uniqueName="[Table1].[Progress_Percent]" caption="Progress_Percent" attribute="1" defaultMemberUniqueName="[Table1].[Progress_Percent].[All]" allUniqueName="[Table1].[Progress_Percent].[All]" dimensionUniqueName="[Table1]" displayFolder="" count="0" memberValueDatatype="130" unbalanced="0"/>
    <cacheHierarchy uniqueName="[Table1].[Project_Status]" caption="Project_Status" attribute="1" defaultMemberUniqueName="[Table1].[Project_Status].[All]" allUniqueName="[Table1].[Project_Status].[All]" dimensionUniqueName="[Table1]" displayFolder="" count="0" memberValueDatatype="130" unbalanced="0"/>
    <cacheHierarchy uniqueName="[Table1].[Project_Expected_Status]" caption="Project_Expected_Status" attribute="1" defaultMemberUniqueName="[Table1].[Project_Expected_Status].[All]" allUniqueName="[Table1].[Project_Expected_Status].[All]" dimensionUniqueName="[Table1]" displayFolder="" count="0" memberValueDatatype="130" unbalanced="0"/>
    <cacheHierarchy uniqueName="[Table1].[Project_Status_Check]" caption="Project_Status_Check" attribute="1" defaultMemberUniqueName="[Table1].[Project_Status_Check].[All]" allUniqueName="[Table1].[Project_Status_Check].[All]" dimensionUniqueName="[Table1]" displayFolder="" count="0" memberValueDatatype="130" unbalanced="0"/>
    <cacheHierarchy uniqueName="[Table1].[Last_Updated]" caption="Last_Updated" attribute="1" time="1" defaultMemberUniqueName="[Table1].[Last_Updated].[All]" allUniqueName="[Table1].[Last_Updated].[All]" dimensionUniqueName="[Table1]" displayFolder="" count="0" memberValueDatatype="7" unbalanced="0"/>
    <cacheHierarchy uniqueName="[Table1].[Schedule_Variance]" caption="Schedule_Variance" attribute="1" defaultMemberUniqueName="[Table1].[Schedule_Variance].[All]" allUniqueName="[Table1].[Schedule_Variance].[All]" dimensionUniqueName="[Table1]" displayFolder="" count="0" memberValueDatatype="20" unbalanced="0"/>
    <cacheHierarchy uniqueName="[Table1].[Schedule_Status]" caption="Schedule_Status" attribute="1" defaultMemberUniqueName="[Table1].[Schedule_Status].[All]" allUniqueName="[Table1].[Schedule_Status].[All]" dimensionUniqueName="[Table1]" displayFolder="" count="0" memberValueDatatype="130" unbalanced="0"/>
    <cacheHierarchy uniqueName="[Table1].[Cost_Variance]" caption="Cost_Variance" attribute="1" defaultMemberUniqueName="[Table1].[Cost_Variance].[All]" allUniqueName="[Table1].[Cost_Variance].[All]" dimensionUniqueName="[Table1]" displayFolder="" count="0" memberValueDatatype="130" unbalanced="0"/>
    <cacheHierarchy uniqueName="[Table1].[Cost_Variance_Percentage]" caption="Cost_Variance_Percentage" attribute="1" defaultMemberUniqueName="[Table1].[Cost_Variance_Percentage].[All]" allUniqueName="[Table1].[Cost_Variance_Percentage].[All]" dimensionUniqueName="[Table1]" displayFolder="" count="0" memberValueDatatype="130" unbalanced="0"/>
    <cacheHierarchy uniqueName="[Table1].[Budget_Status]" caption="Budget_Status" attribute="1" defaultMemberUniqueName="[Table1].[Budget_Status].[All]" allUniqueName="[Table1].[Budget_Status].[All]" dimensionUniqueName="[Table1]" displayFolder="" count="2" memberValueDatatype="130" unbalanced="0">
      <fieldsUsage count="2">
        <fieldUsage x="-1"/>
        <fieldUsage x="0"/>
      </fieldsUsage>
    </cacheHierarchy>
    <cacheHierarchy uniqueName="[Table1].[Cost_Variance_Pivot]" caption="Cost_Variance_Pivot" attribute="1" defaultMemberUniqueName="[Table1].[Cost_Variance_Pivot].[All]" allUniqueName="[Table1].[Cost_Variance_Pivot].[All]" dimensionUniqueName="[Table1]" displayFolder="" count="0" memberValueDatatype="5" unbalanced="0"/>
    <cacheHierarchy uniqueName="[Table1].[Cost_Variance_Percentage_Pivot]" caption="Cost_Variance_Percentage_Pivot" attribute="1" defaultMemberUniqueName="[Table1].[Cost_Variance_Percentage_Pivot].[All]" allUniqueName="[Table1].[Cost_Variance_Percentage_Pivot].[All]" dimensionUniqueName="[Table1]" displayFolder="" count="0" memberValueDatatype="5" unbalanced="0"/>
    <cacheHierarchy uniqueName="[Table1].[Latest_Record_Flag]" caption="Latest_Record_Flag" attribute="1" defaultMemberUniqueName="[Table1].[Latest_Record_Flag].[All]" allUniqueName="[Table1].[Latest_Record_Flag].[All]" dimensionUniqueName="[Table1]" displayFolder="" count="0" memberValueDatatype="130" unbalanced="0"/>
    <cacheHierarchy uniqueName="[Table1].[Valid_Date_Count]" caption="Valid_Date_Count" attribute="1" defaultMemberUniqueName="[Table1].[Valid_Date_Count].[All]" allUniqueName="[Table1].[Valid_Date_Count].[All]" dimensionUniqueName="[Table1]" displayFolder="" count="0" memberValueDatatype="20" unbalanced="0"/>
    <cacheHierarchy uniqueName="[Table1].[Latest_Count]" caption="Latest_Count" attribute="1" defaultMemberUniqueName="[Table1].[Latest_Count].[All]" allUniqueName="[Table1].[Latest_Count].[All]" dimensionUniqueName="[Table1]" displayFolder="" count="0" memberValueDatatype="20" unbalanced="0"/>
    <cacheHierarchy uniqueName="[Table1].[Record_Review_Flag]" caption="Record_Review_Flag" attribute="1" defaultMemberUniqueName="[Table1].[Record_Review_Flag].[All]" allUniqueName="[Table1].[Record_Review_Flag].[All]" dimensionUniqueName="[Table1]" displayFolder="" count="0" memberValueDatatype="130" unbalanced="0"/>
    <cacheHierarchy uniqueName="[Table1].[Latest_Record_Check]" caption="Latest_Record_Check" attribute="1" defaultMemberUniqueName="[Table1].[Latest_Record_Check].[All]" allUniqueName="[Table1].[Latest_Record_Check].[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roject_ID]" caption="Count of Project_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roject_ID]" caption="Distinct Count of Project_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Schedule_Variance]" caption="Sum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Average of Schedule_Variance]" caption="Average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Count of Schedule_Variance]" caption="Count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Sum of Budget_ZAR]" caption="Sum of Budget_ZAR" measure="1" displayFolder="" measureGroup="Table1" count="0" hidden="1">
      <extLst>
        <ext xmlns:x15="http://schemas.microsoft.com/office/spreadsheetml/2010/11/main" uri="{B97F6D7D-B522-45F9-BDA1-12C45D357490}">
          <x15:cacheHierarchy aggregatedColumn="11"/>
        </ext>
      </extLst>
    </cacheHierarchy>
    <cacheHierarchy uniqueName="[Measures].[Sum of Actual_Cost_ZAR]" caption="Sum of Actual_Cost_ZAR" measure="1" displayFolder="" measureGroup="Table1" count="0" hidden="1">
      <extLst>
        <ext xmlns:x15="http://schemas.microsoft.com/office/spreadsheetml/2010/11/main" uri="{B97F6D7D-B522-45F9-BDA1-12C45D357490}">
          <x15:cacheHierarchy aggregatedColumn="13"/>
        </ext>
      </extLst>
    </cacheHierarchy>
    <cacheHierarchy uniqueName="[Measures].[Count of Cost_Variance]" caption="Count of Cost_Variance" measure="1" displayFolder="" measureGroup="Table1" count="0" hidden="1">
      <extLst>
        <ext xmlns:x15="http://schemas.microsoft.com/office/spreadsheetml/2010/11/main" uri="{B97F6D7D-B522-45F9-BDA1-12C45D357490}">
          <x15:cacheHierarchy aggregatedColumn="23"/>
        </ext>
      </extLst>
    </cacheHierarchy>
    <cacheHierarchy uniqueName="[Measures].[Count of Cost_Variance_Percentage]" caption="Count of Cost_Variance_Percentage" measure="1" displayFolder="" measureGroup="Table1" count="0" hidden="1">
      <extLst>
        <ext xmlns:x15="http://schemas.microsoft.com/office/spreadsheetml/2010/11/main" uri="{B97F6D7D-B522-45F9-BDA1-12C45D357490}">
          <x15:cacheHierarchy aggregatedColumn="24"/>
        </ext>
      </extLst>
    </cacheHierarchy>
    <cacheHierarchy uniqueName="[Measures].[Sum of Cost_Variance_Pivot]" caption="Sum of Cost_Variance_Pivot" measure="1" displayFolder="" measureGroup="Table1" count="0" hidden="1">
      <extLst>
        <ext xmlns:x15="http://schemas.microsoft.com/office/spreadsheetml/2010/11/main" uri="{B97F6D7D-B522-45F9-BDA1-12C45D357490}">
          <x15:cacheHierarchy aggregatedColumn="26"/>
        </ext>
      </extLst>
    </cacheHierarchy>
    <cacheHierarchy uniqueName="[Measures].[Sum of Cost_Variance_Percentage_Pivot]" caption="Sum of Cost_Variance_Percentage_Pivot" measure="1" displayFolder="" measureGroup="Table1" count="0" hidden="1">
      <extLst>
        <ext xmlns:x15="http://schemas.microsoft.com/office/spreadsheetml/2010/11/main" uri="{B97F6D7D-B522-45F9-BDA1-12C45D357490}">
          <x15:cacheHierarchy aggregatedColumn="27"/>
        </ext>
      </extLst>
    </cacheHierarchy>
    <cacheHierarchy uniqueName="[Measures].[Average of Cost_Variance_Percentage_Pivot]" caption="Average of Cost_Variance_Percentage_Pivot" measure="1" displayFolder="" measureGroup="Table1" count="0" hidden="1">
      <extLst>
        <ext xmlns:x15="http://schemas.microsoft.com/office/spreadsheetml/2010/11/main" uri="{B97F6D7D-B522-45F9-BDA1-12C45D357490}">
          <x15:cacheHierarchy aggregatedColumn="27"/>
        </ext>
      </extLst>
    </cacheHierarchy>
    <cacheHierarchy uniqueName="[Measures].[Average of Cost_Variance_Pivot]" caption="Average of Cost_Variance_Pivot" measure="1" displayFolder="" measureGroup="Table1"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onia Patience Munedzimwe" refreshedDate="46308.932817939814" backgroundQuery="1" createdVersion="8" refreshedVersion="8" minRefreshableVersion="3" recordCount="0" supportSubquery="1" supportAdvancedDrill="1" xr:uid="{EC31169C-440E-4D2E-9951-024A084A5E8B}">
  <cacheSource type="external" connectionId="1"/>
  <cacheFields count="4">
    <cacheField name="[Table1].[Project_Type].[Project_Type]" caption="Project_Type" numFmtId="0" hierarchy="4" level="1">
      <sharedItems count="5">
        <s v="Commercial"/>
        <s v="Infrastructure"/>
        <s v="Renovation"/>
        <s v="Residential"/>
        <s v="Roadworks"/>
      </sharedItems>
    </cacheField>
    <cacheField name="[Measures].[Distinct Count of Project_ID]" caption="Distinct Count of Project_ID" numFmtId="0" hierarchy="36" level="32767"/>
    <cacheField name="[Measures].[Average of Schedule_Variance]" caption="Average of Schedule_Variance" numFmtId="0" hierarchy="38" level="32767"/>
    <cacheField name="[Measures].[Count of Schedule_Variance]" caption="Count of Schedule_Variance" numFmtId="0" hierarchy="39" level="32767"/>
  </cacheFields>
  <cacheHierarchies count="48">
    <cacheHierarchy uniqueName="[Table1].[Record_ID]" caption="Record_ID" attribute="1" defaultMemberUniqueName="[Table1].[Record_ID].[All]" allUniqueName="[Table1].[Record_ID].[All]" dimensionUniqueName="[Table1]" displayFolder="" count="0" memberValueDatatype="130" unbalanced="0"/>
    <cacheHierarchy uniqueName="[Table1].[Project_ID]" caption="Project_ID" attribute="1" defaultMemberUniqueName="[Table1].[Project_ID].[All]" allUniqueName="[Table1].[Project_ID].[All]" dimensionUniqueName="[Table1]" displayFolder="" count="0" memberValueDatatype="130" unbalanced="0"/>
    <cacheHierarchy uniqueName="[Table1].[Project_Name]" caption="Project_Name" attribute="1" defaultMemberUniqueName="[Table1].[Project_Name].[All]" allUniqueName="[Table1].[Project_Name].[All]" dimensionUniqueName="[Table1]" displayFolder="" count="0" memberValueDatatype="130" unbalanced="0"/>
    <cacheHierarchy uniqueName="[Table1].[Site_Location]" caption="Site_Location" attribute="1" defaultMemberUniqueName="[Table1].[Site_Location].[All]" allUniqueName="[Table1].[Site_Location].[All]" dimensionUniqueName="[Table1]" displayFolder="" count="0" memberValueDatatype="130" unbalanced="0"/>
    <cacheHierarchy uniqueName="[Table1].[Project_Type]" caption="Project_Type" attribute="1" defaultMemberUniqueName="[Table1].[Project_Type].[All]" allUniqueName="[Table1].[Project_Type].[All]" dimensionUniqueName="[Table1]" displayFolder="" count="2" memberValueDatatype="130" unbalanced="0">
      <fieldsUsage count="2">
        <fieldUsage x="-1"/>
        <fieldUsage x="0"/>
      </fieldsUsage>
    </cacheHierarchy>
    <cacheHierarchy uniqueName="[Table1].[Project_Manager]" caption="Project_Manager" attribute="1" defaultMemberUniqueName="[Table1].[Project_Manager].[All]" allUniqueName="[Table1].[Project_Manager].[All]" dimensionUniqueName="[Table1]" displayFolder="" count="0" memberValueDatatype="130" unbalanced="0"/>
    <cacheHierarchy uniqueName="[Table1].[Main_Contractor]" caption="Main_Contractor" attribute="1" defaultMemberUniqueName="[Table1].[Main_Contractor].[All]" allUniqueName="[Table1].[Main_Contractor].[All]" dimensionUniqueName="[Table1]" displayFolder="" count="0" memberValueDatatype="130" unbalanced="0"/>
    <cacheHierarchy uniqueName="[Table1].[Material_Category]" caption="Material_Category" attribute="1" defaultMemberUniqueName="[Table1].[Material_Category].[All]" allUniqueName="[Table1].[Material_Category].[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Planned_Duration_Days]" caption="Planned_Duration_Days" attribute="1" defaultMemberUniqueName="[Table1].[Planned_Duration_Days].[All]" allUniqueName="[Table1].[Planned_Duration_Days].[All]" dimensionUniqueName="[Table1]" displayFolder="" count="0" memberValueDatatype="20" unbalanced="0"/>
    <cacheHierarchy uniqueName="[Table1].[Actual_Duration_Days]" caption="Actual_Duration_Days" attribute="1" defaultMemberUniqueName="[Table1].[Actual_Duration_Days].[All]" allUniqueName="[Table1].[Actual_Duration_Days].[All]" dimensionUniqueName="[Table1]" displayFolder="" count="0" memberValueDatatype="20" unbalanced="0"/>
    <cacheHierarchy uniqueName="[Table1].[Budget_ZAR]" caption="Budget_ZAR" attribute="1" defaultMemberUniqueName="[Table1].[Budget_ZAR].[All]" allUniqueName="[Table1].[Budget_ZAR].[All]" dimensionUniqueName="[Table1]" displayFolder="" count="0" memberValueDatatype="5" unbalanced="0"/>
    <cacheHierarchy uniqueName="[Table1].[Budget_Missing]" caption="Budget_Missing" attribute="1" defaultMemberUniqueName="[Table1].[Budget_Missing].[All]" allUniqueName="[Table1].[Budget_Missing].[All]" dimensionUniqueName="[Table1]" displayFolder="" count="0" memberValueDatatype="130" unbalanced="0"/>
    <cacheHierarchy uniqueName="[Table1].[Actual_Cost_ZAR]" caption="Actual_Cost_ZAR" attribute="1" defaultMemberUniqueName="[Table1].[Actual_Cost_ZAR].[All]" allUniqueName="[Table1].[Actual_Cost_ZAR].[All]" dimensionUniqueName="[Table1]" displayFolder="" count="0" memberValueDatatype="5" unbalanced="0"/>
    <cacheHierarchy uniqueName="[Table1].[Actual_Missing]" caption="Actual_Missing" attribute="1" defaultMemberUniqueName="[Table1].[Actual_Missing].[All]" allUniqueName="[Table1].[Actual_Missing].[All]" dimensionUniqueName="[Table1]" displayFolder="" count="0" memberValueDatatype="130" unbalanced="0"/>
    <cacheHierarchy uniqueName="[Table1].[Cost_Data _Flag]" caption="Cost_Data _Flag" attribute="1" defaultMemberUniqueName="[Table1].[Cost_Data _Flag].[All]" allUniqueName="[Table1].[Cost_Data _Flag].[All]" dimensionUniqueName="[Table1]" displayFolder="" count="0" memberValueDatatype="130" unbalanced="0"/>
    <cacheHierarchy uniqueName="[Table1].[Progress_Percent]" caption="Progress_Percent" attribute="1" defaultMemberUniqueName="[Table1].[Progress_Percent].[All]" allUniqueName="[Table1].[Progress_Percent].[All]" dimensionUniqueName="[Table1]" displayFolder="" count="0" memberValueDatatype="130" unbalanced="0"/>
    <cacheHierarchy uniqueName="[Table1].[Project_Status]" caption="Project_Status" attribute="1" defaultMemberUniqueName="[Table1].[Project_Status].[All]" allUniqueName="[Table1].[Project_Status].[All]" dimensionUniqueName="[Table1]" displayFolder="" count="0" memberValueDatatype="130" unbalanced="0"/>
    <cacheHierarchy uniqueName="[Table1].[Project_Expected_Status]" caption="Project_Expected_Status" attribute="1" defaultMemberUniqueName="[Table1].[Project_Expected_Status].[All]" allUniqueName="[Table1].[Project_Expected_Status].[All]" dimensionUniqueName="[Table1]" displayFolder="" count="0" memberValueDatatype="130" unbalanced="0"/>
    <cacheHierarchy uniqueName="[Table1].[Project_Status_Check]" caption="Project_Status_Check" attribute="1" defaultMemberUniqueName="[Table1].[Project_Status_Check].[All]" allUniqueName="[Table1].[Project_Status_Check].[All]" dimensionUniqueName="[Table1]" displayFolder="" count="0" memberValueDatatype="130" unbalanced="0"/>
    <cacheHierarchy uniqueName="[Table1].[Last_Updated]" caption="Last_Updated" attribute="1" time="1" defaultMemberUniqueName="[Table1].[Last_Updated].[All]" allUniqueName="[Table1].[Last_Updated].[All]" dimensionUniqueName="[Table1]" displayFolder="" count="0" memberValueDatatype="7" unbalanced="0"/>
    <cacheHierarchy uniqueName="[Table1].[Schedule_Variance]" caption="Schedule_Variance" attribute="1" defaultMemberUniqueName="[Table1].[Schedule_Variance].[All]" allUniqueName="[Table1].[Schedule_Variance].[All]" dimensionUniqueName="[Table1]" displayFolder="" count="0" memberValueDatatype="20" unbalanced="0"/>
    <cacheHierarchy uniqueName="[Table1].[Schedule_Status]" caption="Schedule_Status" attribute="1" defaultMemberUniqueName="[Table1].[Schedule_Status].[All]" allUniqueName="[Table1].[Schedule_Status].[All]" dimensionUniqueName="[Table1]" displayFolder="" count="0" memberValueDatatype="130" unbalanced="0"/>
    <cacheHierarchy uniqueName="[Table1].[Cost_Variance]" caption="Cost_Variance" attribute="1" defaultMemberUniqueName="[Table1].[Cost_Variance].[All]" allUniqueName="[Table1].[Cost_Variance].[All]" dimensionUniqueName="[Table1]" displayFolder="" count="0" memberValueDatatype="130" unbalanced="0"/>
    <cacheHierarchy uniqueName="[Table1].[Cost_Variance_Percentage]" caption="Cost_Variance_Percentage" attribute="1" defaultMemberUniqueName="[Table1].[Cost_Variance_Percentage].[All]" allUniqueName="[Table1].[Cost_Variance_Percentage].[All]" dimensionUniqueName="[Table1]" displayFolder="" count="0" memberValueDatatype="130" unbalanced="0"/>
    <cacheHierarchy uniqueName="[Table1].[Budget_Status]" caption="Budget_Status" attribute="1" defaultMemberUniqueName="[Table1].[Budget_Status].[All]" allUniqueName="[Table1].[Budget_Status].[All]" dimensionUniqueName="[Table1]" displayFolder="" count="0" memberValueDatatype="130" unbalanced="0"/>
    <cacheHierarchy uniqueName="[Table1].[Cost_Variance_Pivot]" caption="Cost_Variance_Pivot" attribute="1" defaultMemberUniqueName="[Table1].[Cost_Variance_Pivot].[All]" allUniqueName="[Table1].[Cost_Variance_Pivot].[All]" dimensionUniqueName="[Table1]" displayFolder="" count="0" memberValueDatatype="5" unbalanced="0"/>
    <cacheHierarchy uniqueName="[Table1].[Cost_Variance_Percentage_Pivot]" caption="Cost_Variance_Percentage_Pivot" attribute="1" defaultMemberUniqueName="[Table1].[Cost_Variance_Percentage_Pivot].[All]" allUniqueName="[Table1].[Cost_Variance_Percentage_Pivot].[All]" dimensionUniqueName="[Table1]" displayFolder="" count="0" memberValueDatatype="5" unbalanced="0"/>
    <cacheHierarchy uniqueName="[Table1].[Latest_Record_Flag]" caption="Latest_Record_Flag" attribute="1" defaultMemberUniqueName="[Table1].[Latest_Record_Flag].[All]" allUniqueName="[Table1].[Latest_Record_Flag].[All]" dimensionUniqueName="[Table1]" displayFolder="" count="0" memberValueDatatype="130" unbalanced="0"/>
    <cacheHierarchy uniqueName="[Table1].[Valid_Date_Count]" caption="Valid_Date_Count" attribute="1" defaultMemberUniqueName="[Table1].[Valid_Date_Count].[All]" allUniqueName="[Table1].[Valid_Date_Count].[All]" dimensionUniqueName="[Table1]" displayFolder="" count="0" memberValueDatatype="20" unbalanced="0"/>
    <cacheHierarchy uniqueName="[Table1].[Latest_Count]" caption="Latest_Count" attribute="1" defaultMemberUniqueName="[Table1].[Latest_Count].[All]" allUniqueName="[Table1].[Latest_Count].[All]" dimensionUniqueName="[Table1]" displayFolder="" count="0" memberValueDatatype="20" unbalanced="0"/>
    <cacheHierarchy uniqueName="[Table1].[Record_Review_Flag]" caption="Record_Review_Flag" attribute="1" defaultMemberUniqueName="[Table1].[Record_Review_Flag].[All]" allUniqueName="[Table1].[Record_Review_Flag].[All]" dimensionUniqueName="[Table1]" displayFolder="" count="0" memberValueDatatype="130" unbalanced="0"/>
    <cacheHierarchy uniqueName="[Table1].[Latest_Record_Check]" caption="Latest_Record_Check" attribute="1" defaultMemberUniqueName="[Table1].[Latest_Record_Check].[All]" allUniqueName="[Table1].[Latest_Record_Check].[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roject_ID]" caption="Count of Project_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roject_ID]" caption="Distinct Count of Project_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Schedule_Variance]" caption="Sum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Average of Schedule_Variance]" caption="Average of Schedule_Variance" measure="1" displayFolder="" measureGroup="Table1"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Schedule_Variance]" caption="Count of Schedule_Variance" measure="1" displayFolder="" measureGroup="Table1"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Budget_ZAR]" caption="Sum of Budget_ZAR" measure="1" displayFolder="" measureGroup="Table1" count="0" hidden="1">
      <extLst>
        <ext xmlns:x15="http://schemas.microsoft.com/office/spreadsheetml/2010/11/main" uri="{B97F6D7D-B522-45F9-BDA1-12C45D357490}">
          <x15:cacheHierarchy aggregatedColumn="11"/>
        </ext>
      </extLst>
    </cacheHierarchy>
    <cacheHierarchy uniqueName="[Measures].[Sum of Actual_Cost_ZAR]" caption="Sum of Actual_Cost_ZAR" measure="1" displayFolder="" measureGroup="Table1" count="0" hidden="1">
      <extLst>
        <ext xmlns:x15="http://schemas.microsoft.com/office/spreadsheetml/2010/11/main" uri="{B97F6D7D-B522-45F9-BDA1-12C45D357490}">
          <x15:cacheHierarchy aggregatedColumn="13"/>
        </ext>
      </extLst>
    </cacheHierarchy>
    <cacheHierarchy uniqueName="[Measures].[Count of Cost_Variance]" caption="Count of Cost_Variance" measure="1" displayFolder="" measureGroup="Table1" count="0" hidden="1">
      <extLst>
        <ext xmlns:x15="http://schemas.microsoft.com/office/spreadsheetml/2010/11/main" uri="{B97F6D7D-B522-45F9-BDA1-12C45D357490}">
          <x15:cacheHierarchy aggregatedColumn="23"/>
        </ext>
      </extLst>
    </cacheHierarchy>
    <cacheHierarchy uniqueName="[Measures].[Count of Cost_Variance_Percentage]" caption="Count of Cost_Variance_Percentage" measure="1" displayFolder="" measureGroup="Table1" count="0" hidden="1">
      <extLst>
        <ext xmlns:x15="http://schemas.microsoft.com/office/spreadsheetml/2010/11/main" uri="{B97F6D7D-B522-45F9-BDA1-12C45D357490}">
          <x15:cacheHierarchy aggregatedColumn="24"/>
        </ext>
      </extLst>
    </cacheHierarchy>
    <cacheHierarchy uniqueName="[Measures].[Sum of Cost_Variance_Pivot]" caption="Sum of Cost_Variance_Pivot" measure="1" displayFolder="" measureGroup="Table1" count="0" hidden="1">
      <extLst>
        <ext xmlns:x15="http://schemas.microsoft.com/office/spreadsheetml/2010/11/main" uri="{B97F6D7D-B522-45F9-BDA1-12C45D357490}">
          <x15:cacheHierarchy aggregatedColumn="26"/>
        </ext>
      </extLst>
    </cacheHierarchy>
    <cacheHierarchy uniqueName="[Measures].[Sum of Cost_Variance_Percentage_Pivot]" caption="Sum of Cost_Variance_Percentage_Pivot" measure="1" displayFolder="" measureGroup="Table1" count="0" hidden="1">
      <extLst>
        <ext xmlns:x15="http://schemas.microsoft.com/office/spreadsheetml/2010/11/main" uri="{B97F6D7D-B522-45F9-BDA1-12C45D357490}">
          <x15:cacheHierarchy aggregatedColumn="27"/>
        </ext>
      </extLst>
    </cacheHierarchy>
    <cacheHierarchy uniqueName="[Measures].[Average of Cost_Variance_Percentage_Pivot]" caption="Average of Cost_Variance_Percentage_Pivot" measure="1" displayFolder="" measureGroup="Table1" count="0" hidden="1">
      <extLst>
        <ext xmlns:x15="http://schemas.microsoft.com/office/spreadsheetml/2010/11/main" uri="{B97F6D7D-B522-45F9-BDA1-12C45D357490}">
          <x15:cacheHierarchy aggregatedColumn="27"/>
        </ext>
      </extLst>
    </cacheHierarchy>
    <cacheHierarchy uniqueName="[Measures].[Average of Cost_Variance_Pivot]" caption="Average of Cost_Variance_Pivot" measure="1" displayFolder="" measureGroup="Table1"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onia Patience Munedzimwe" refreshedDate="46308.932819560185" backgroundQuery="1" createdVersion="8" refreshedVersion="8" minRefreshableVersion="3" recordCount="0" supportSubquery="1" supportAdvancedDrill="1" xr:uid="{7FB41C9E-0541-4266-9FCB-389094CCE7F1}">
  <cacheSource type="external" connectionId="1"/>
  <cacheFields count="4">
    <cacheField name="[Table1].[Site_Location].[Site_Location]" caption="Site_Location" numFmtId="0" hierarchy="3" level="1">
      <sharedItems count="6">
        <s v=""/>
        <s v="Cape Town"/>
        <s v="Durban"/>
        <s v="Gqeberha"/>
        <s v="Johannesburg"/>
        <s v="Pretoria"/>
      </sharedItems>
    </cacheField>
    <cacheField name="[Measures].[Distinct Count of Project_ID]" caption="Distinct Count of Project_ID" numFmtId="0" hierarchy="36" level="32767"/>
    <cacheField name="[Measures].[Average of Schedule_Variance]" caption="Average of Schedule_Variance" numFmtId="0" hierarchy="38" level="32767"/>
    <cacheField name="[Measures].[Average of Cost_Variance_Pivot]" caption="Average of Cost_Variance_Pivot" numFmtId="0" hierarchy="47" level="32767"/>
  </cacheFields>
  <cacheHierarchies count="48">
    <cacheHierarchy uniqueName="[Table1].[Record_ID]" caption="Record_ID" attribute="1" defaultMemberUniqueName="[Table1].[Record_ID].[All]" allUniqueName="[Table1].[Record_ID].[All]" dimensionUniqueName="[Table1]" displayFolder="" count="0" memberValueDatatype="130" unbalanced="0"/>
    <cacheHierarchy uniqueName="[Table1].[Project_ID]" caption="Project_ID" attribute="1" defaultMemberUniqueName="[Table1].[Project_ID].[All]" allUniqueName="[Table1].[Project_ID].[All]" dimensionUniqueName="[Table1]" displayFolder="" count="0" memberValueDatatype="130" unbalanced="0"/>
    <cacheHierarchy uniqueName="[Table1].[Project_Name]" caption="Project_Name" attribute="1" defaultMemberUniqueName="[Table1].[Project_Name].[All]" allUniqueName="[Table1].[Project_Name].[All]" dimensionUniqueName="[Table1]" displayFolder="" count="0" memberValueDatatype="130" unbalanced="0"/>
    <cacheHierarchy uniqueName="[Table1].[Site_Location]" caption="Site_Location" attribute="1" defaultMemberUniqueName="[Table1].[Site_Location].[All]" allUniqueName="[Table1].[Site_Location].[All]" dimensionUniqueName="[Table1]" displayFolder="" count="2" memberValueDatatype="130" unbalanced="0">
      <fieldsUsage count="2">
        <fieldUsage x="-1"/>
        <fieldUsage x="0"/>
      </fieldsUsage>
    </cacheHierarchy>
    <cacheHierarchy uniqueName="[Table1].[Project_Type]" caption="Project_Type" attribute="1" defaultMemberUniqueName="[Table1].[Project_Type].[All]" allUniqueName="[Table1].[Project_Type].[All]" dimensionUniqueName="[Table1]" displayFolder="" count="0" memberValueDatatype="130" unbalanced="0"/>
    <cacheHierarchy uniqueName="[Table1].[Project_Manager]" caption="Project_Manager" attribute="1" defaultMemberUniqueName="[Table1].[Project_Manager].[All]" allUniqueName="[Table1].[Project_Manager].[All]" dimensionUniqueName="[Table1]" displayFolder="" count="0" memberValueDatatype="130" unbalanced="0"/>
    <cacheHierarchy uniqueName="[Table1].[Main_Contractor]" caption="Main_Contractor" attribute="1" defaultMemberUniqueName="[Table1].[Main_Contractor].[All]" allUniqueName="[Table1].[Main_Contractor].[All]" dimensionUniqueName="[Table1]" displayFolder="" count="0" memberValueDatatype="130" unbalanced="0"/>
    <cacheHierarchy uniqueName="[Table1].[Material_Category]" caption="Material_Category" attribute="1" defaultMemberUniqueName="[Table1].[Material_Category].[All]" allUniqueName="[Table1].[Material_Category].[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Planned_Duration_Days]" caption="Planned_Duration_Days" attribute="1" defaultMemberUniqueName="[Table1].[Planned_Duration_Days].[All]" allUniqueName="[Table1].[Planned_Duration_Days].[All]" dimensionUniqueName="[Table1]" displayFolder="" count="0" memberValueDatatype="20" unbalanced="0"/>
    <cacheHierarchy uniqueName="[Table1].[Actual_Duration_Days]" caption="Actual_Duration_Days" attribute="1" defaultMemberUniqueName="[Table1].[Actual_Duration_Days].[All]" allUniqueName="[Table1].[Actual_Duration_Days].[All]" dimensionUniqueName="[Table1]" displayFolder="" count="0" memberValueDatatype="20" unbalanced="0"/>
    <cacheHierarchy uniqueName="[Table1].[Budget_ZAR]" caption="Budget_ZAR" attribute="1" defaultMemberUniqueName="[Table1].[Budget_ZAR].[All]" allUniqueName="[Table1].[Budget_ZAR].[All]" dimensionUniqueName="[Table1]" displayFolder="" count="0" memberValueDatatype="5" unbalanced="0"/>
    <cacheHierarchy uniqueName="[Table1].[Budget_Missing]" caption="Budget_Missing" attribute="1" defaultMemberUniqueName="[Table1].[Budget_Missing].[All]" allUniqueName="[Table1].[Budget_Missing].[All]" dimensionUniqueName="[Table1]" displayFolder="" count="0" memberValueDatatype="130" unbalanced="0"/>
    <cacheHierarchy uniqueName="[Table1].[Actual_Cost_ZAR]" caption="Actual_Cost_ZAR" attribute="1" defaultMemberUniqueName="[Table1].[Actual_Cost_ZAR].[All]" allUniqueName="[Table1].[Actual_Cost_ZAR].[All]" dimensionUniqueName="[Table1]" displayFolder="" count="0" memberValueDatatype="5" unbalanced="0"/>
    <cacheHierarchy uniqueName="[Table1].[Actual_Missing]" caption="Actual_Missing" attribute="1" defaultMemberUniqueName="[Table1].[Actual_Missing].[All]" allUniqueName="[Table1].[Actual_Missing].[All]" dimensionUniqueName="[Table1]" displayFolder="" count="0" memberValueDatatype="130" unbalanced="0"/>
    <cacheHierarchy uniqueName="[Table1].[Cost_Data _Flag]" caption="Cost_Data _Flag" attribute="1" defaultMemberUniqueName="[Table1].[Cost_Data _Flag].[All]" allUniqueName="[Table1].[Cost_Data _Flag].[All]" dimensionUniqueName="[Table1]" displayFolder="" count="0" memberValueDatatype="130" unbalanced="0"/>
    <cacheHierarchy uniqueName="[Table1].[Progress_Percent]" caption="Progress_Percent" attribute="1" defaultMemberUniqueName="[Table1].[Progress_Percent].[All]" allUniqueName="[Table1].[Progress_Percent].[All]" dimensionUniqueName="[Table1]" displayFolder="" count="0" memberValueDatatype="130" unbalanced="0"/>
    <cacheHierarchy uniqueName="[Table1].[Project_Status]" caption="Project_Status" attribute="1" defaultMemberUniqueName="[Table1].[Project_Status].[All]" allUniqueName="[Table1].[Project_Status].[All]" dimensionUniqueName="[Table1]" displayFolder="" count="0" memberValueDatatype="130" unbalanced="0"/>
    <cacheHierarchy uniqueName="[Table1].[Project_Expected_Status]" caption="Project_Expected_Status" attribute="1" defaultMemberUniqueName="[Table1].[Project_Expected_Status].[All]" allUniqueName="[Table1].[Project_Expected_Status].[All]" dimensionUniqueName="[Table1]" displayFolder="" count="0" memberValueDatatype="130" unbalanced="0"/>
    <cacheHierarchy uniqueName="[Table1].[Project_Status_Check]" caption="Project_Status_Check" attribute="1" defaultMemberUniqueName="[Table1].[Project_Status_Check].[All]" allUniqueName="[Table1].[Project_Status_Check].[All]" dimensionUniqueName="[Table1]" displayFolder="" count="0" memberValueDatatype="130" unbalanced="0"/>
    <cacheHierarchy uniqueName="[Table1].[Last_Updated]" caption="Last_Updated" attribute="1" time="1" defaultMemberUniqueName="[Table1].[Last_Updated].[All]" allUniqueName="[Table1].[Last_Updated].[All]" dimensionUniqueName="[Table1]" displayFolder="" count="0" memberValueDatatype="7" unbalanced="0"/>
    <cacheHierarchy uniqueName="[Table1].[Schedule_Variance]" caption="Schedule_Variance" attribute="1" defaultMemberUniqueName="[Table1].[Schedule_Variance].[All]" allUniqueName="[Table1].[Schedule_Variance].[All]" dimensionUniqueName="[Table1]" displayFolder="" count="0" memberValueDatatype="20" unbalanced="0"/>
    <cacheHierarchy uniqueName="[Table1].[Schedule_Status]" caption="Schedule_Status" attribute="1" defaultMemberUniqueName="[Table1].[Schedule_Status].[All]" allUniqueName="[Table1].[Schedule_Status].[All]" dimensionUniqueName="[Table1]" displayFolder="" count="0" memberValueDatatype="130" unbalanced="0"/>
    <cacheHierarchy uniqueName="[Table1].[Cost_Variance]" caption="Cost_Variance" attribute="1" defaultMemberUniqueName="[Table1].[Cost_Variance].[All]" allUniqueName="[Table1].[Cost_Variance].[All]" dimensionUniqueName="[Table1]" displayFolder="" count="0" memberValueDatatype="130" unbalanced="0"/>
    <cacheHierarchy uniqueName="[Table1].[Cost_Variance_Percentage]" caption="Cost_Variance_Percentage" attribute="1" defaultMemberUniqueName="[Table1].[Cost_Variance_Percentage].[All]" allUniqueName="[Table1].[Cost_Variance_Percentage].[All]" dimensionUniqueName="[Table1]" displayFolder="" count="0" memberValueDatatype="130" unbalanced="0"/>
    <cacheHierarchy uniqueName="[Table1].[Budget_Status]" caption="Budget_Status" attribute="1" defaultMemberUniqueName="[Table1].[Budget_Status].[All]" allUniqueName="[Table1].[Budget_Status].[All]" dimensionUniqueName="[Table1]" displayFolder="" count="0" memberValueDatatype="130" unbalanced="0"/>
    <cacheHierarchy uniqueName="[Table1].[Cost_Variance_Pivot]" caption="Cost_Variance_Pivot" attribute="1" defaultMemberUniqueName="[Table1].[Cost_Variance_Pivot].[All]" allUniqueName="[Table1].[Cost_Variance_Pivot].[All]" dimensionUniqueName="[Table1]" displayFolder="" count="0" memberValueDatatype="5" unbalanced="0"/>
    <cacheHierarchy uniqueName="[Table1].[Cost_Variance_Percentage_Pivot]" caption="Cost_Variance_Percentage_Pivot" attribute="1" defaultMemberUniqueName="[Table1].[Cost_Variance_Percentage_Pivot].[All]" allUniqueName="[Table1].[Cost_Variance_Percentage_Pivot].[All]" dimensionUniqueName="[Table1]" displayFolder="" count="0" memberValueDatatype="5" unbalanced="0"/>
    <cacheHierarchy uniqueName="[Table1].[Latest_Record_Flag]" caption="Latest_Record_Flag" attribute="1" defaultMemberUniqueName="[Table1].[Latest_Record_Flag].[All]" allUniqueName="[Table1].[Latest_Record_Flag].[All]" dimensionUniqueName="[Table1]" displayFolder="" count="0" memberValueDatatype="130" unbalanced="0"/>
    <cacheHierarchy uniqueName="[Table1].[Valid_Date_Count]" caption="Valid_Date_Count" attribute="1" defaultMemberUniqueName="[Table1].[Valid_Date_Count].[All]" allUniqueName="[Table1].[Valid_Date_Count].[All]" dimensionUniqueName="[Table1]" displayFolder="" count="0" memberValueDatatype="20" unbalanced="0"/>
    <cacheHierarchy uniqueName="[Table1].[Latest_Count]" caption="Latest_Count" attribute="1" defaultMemberUniqueName="[Table1].[Latest_Count].[All]" allUniqueName="[Table1].[Latest_Count].[All]" dimensionUniqueName="[Table1]" displayFolder="" count="0" memberValueDatatype="20" unbalanced="0"/>
    <cacheHierarchy uniqueName="[Table1].[Record_Review_Flag]" caption="Record_Review_Flag" attribute="1" defaultMemberUniqueName="[Table1].[Record_Review_Flag].[All]" allUniqueName="[Table1].[Record_Review_Flag].[All]" dimensionUniqueName="[Table1]" displayFolder="" count="0" memberValueDatatype="130" unbalanced="0"/>
    <cacheHierarchy uniqueName="[Table1].[Latest_Record_Check]" caption="Latest_Record_Check" attribute="1" defaultMemberUniqueName="[Table1].[Latest_Record_Check].[All]" allUniqueName="[Table1].[Latest_Record_Check].[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roject_ID]" caption="Count of Project_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roject_ID]" caption="Distinct Count of Project_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Schedule_Variance]" caption="Sum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Average of Schedule_Variance]" caption="Average of Schedule_Variance" measure="1" displayFolder="" measureGroup="Table1"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Schedule_Variance]" caption="Count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Sum of Budget_ZAR]" caption="Sum of Budget_ZAR" measure="1" displayFolder="" measureGroup="Table1" count="0" hidden="1">
      <extLst>
        <ext xmlns:x15="http://schemas.microsoft.com/office/spreadsheetml/2010/11/main" uri="{B97F6D7D-B522-45F9-BDA1-12C45D357490}">
          <x15:cacheHierarchy aggregatedColumn="11"/>
        </ext>
      </extLst>
    </cacheHierarchy>
    <cacheHierarchy uniqueName="[Measures].[Sum of Actual_Cost_ZAR]" caption="Sum of Actual_Cost_ZAR" measure="1" displayFolder="" measureGroup="Table1" count="0" hidden="1">
      <extLst>
        <ext xmlns:x15="http://schemas.microsoft.com/office/spreadsheetml/2010/11/main" uri="{B97F6D7D-B522-45F9-BDA1-12C45D357490}">
          <x15:cacheHierarchy aggregatedColumn="13"/>
        </ext>
      </extLst>
    </cacheHierarchy>
    <cacheHierarchy uniqueName="[Measures].[Count of Cost_Variance]" caption="Count of Cost_Variance" measure="1" displayFolder="" measureGroup="Table1" count="0" hidden="1">
      <extLst>
        <ext xmlns:x15="http://schemas.microsoft.com/office/spreadsheetml/2010/11/main" uri="{B97F6D7D-B522-45F9-BDA1-12C45D357490}">
          <x15:cacheHierarchy aggregatedColumn="23"/>
        </ext>
      </extLst>
    </cacheHierarchy>
    <cacheHierarchy uniqueName="[Measures].[Count of Cost_Variance_Percentage]" caption="Count of Cost_Variance_Percentage" measure="1" displayFolder="" measureGroup="Table1" count="0" hidden="1">
      <extLst>
        <ext xmlns:x15="http://schemas.microsoft.com/office/spreadsheetml/2010/11/main" uri="{B97F6D7D-B522-45F9-BDA1-12C45D357490}">
          <x15:cacheHierarchy aggregatedColumn="24"/>
        </ext>
      </extLst>
    </cacheHierarchy>
    <cacheHierarchy uniqueName="[Measures].[Sum of Cost_Variance_Pivot]" caption="Sum of Cost_Variance_Pivot" measure="1" displayFolder="" measureGroup="Table1" count="0" hidden="1">
      <extLst>
        <ext xmlns:x15="http://schemas.microsoft.com/office/spreadsheetml/2010/11/main" uri="{B97F6D7D-B522-45F9-BDA1-12C45D357490}">
          <x15:cacheHierarchy aggregatedColumn="26"/>
        </ext>
      </extLst>
    </cacheHierarchy>
    <cacheHierarchy uniqueName="[Measures].[Sum of Cost_Variance_Percentage_Pivot]" caption="Sum of Cost_Variance_Percentage_Pivot" measure="1" displayFolder="" measureGroup="Table1" count="0" hidden="1">
      <extLst>
        <ext xmlns:x15="http://schemas.microsoft.com/office/spreadsheetml/2010/11/main" uri="{B97F6D7D-B522-45F9-BDA1-12C45D357490}">
          <x15:cacheHierarchy aggregatedColumn="27"/>
        </ext>
      </extLst>
    </cacheHierarchy>
    <cacheHierarchy uniqueName="[Measures].[Average of Cost_Variance_Percentage_Pivot]" caption="Average of Cost_Variance_Percentage_Pivot" measure="1" displayFolder="" measureGroup="Table1" count="0" hidden="1">
      <extLst>
        <ext xmlns:x15="http://schemas.microsoft.com/office/spreadsheetml/2010/11/main" uri="{B97F6D7D-B522-45F9-BDA1-12C45D357490}">
          <x15:cacheHierarchy aggregatedColumn="27"/>
        </ext>
      </extLst>
    </cacheHierarchy>
    <cacheHierarchy uniqueName="[Measures].[Average of Cost_Variance_Pivot]" caption="Average of Cost_Variance_Pivot" measure="1" displayFolder="" measureGroup="Table1" count="0" oneField="1" hidden="1">
      <fieldsUsage count="1">
        <fieldUsage x="3"/>
      </fieldsUsage>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onia Patience Munedzimwe" refreshedDate="46308.932821643517" backgroundQuery="1" createdVersion="8" refreshedVersion="8" minRefreshableVersion="3" recordCount="0" supportSubquery="1" supportAdvancedDrill="1" xr:uid="{319BEC61-0A82-4FAB-B518-476D0F8B99FE}">
  <cacheSource type="external" connectionId="1"/>
  <cacheFields count="6">
    <cacheField name="[Table1].[Project_Type].[Project_Type]" caption="Project_Type" numFmtId="0" hierarchy="4" level="1">
      <sharedItems count="5">
        <s v="Commercial"/>
        <s v="Infrastructure"/>
        <s v="Renovation"/>
        <s v="Residential"/>
        <s v="Roadworks"/>
      </sharedItems>
    </cacheField>
    <cacheField name="[Measures].[Distinct Count of Project_ID]" caption="Distinct Count of Project_ID" numFmtId="0" hierarchy="36" level="32767"/>
    <cacheField name="[Measures].[Sum of Budget_ZAR]" caption="Sum of Budget_ZAR" numFmtId="0" hierarchy="40" level="32767"/>
    <cacheField name="[Measures].[Sum of Actual_Cost_ZAR]" caption="Sum of Actual_Cost_ZAR" numFmtId="0" hierarchy="41" level="32767"/>
    <cacheField name="[Measures].[Sum of Cost_Variance_Pivot]" caption="Sum of Cost_Variance_Pivot" numFmtId="0" hierarchy="44" level="32767"/>
    <cacheField name="[Measures].[Average of Cost_Variance_Percentage_Pivot]" caption="Average of Cost_Variance_Percentage_Pivot" numFmtId="0" hierarchy="46" level="32767"/>
  </cacheFields>
  <cacheHierarchies count="48">
    <cacheHierarchy uniqueName="[Table1].[Record_ID]" caption="Record_ID" attribute="1" defaultMemberUniqueName="[Table1].[Record_ID].[All]" allUniqueName="[Table1].[Record_ID].[All]" dimensionUniqueName="[Table1]" displayFolder="" count="0" memberValueDatatype="130" unbalanced="0"/>
    <cacheHierarchy uniqueName="[Table1].[Project_ID]" caption="Project_ID" attribute="1" defaultMemberUniqueName="[Table1].[Project_ID].[All]" allUniqueName="[Table1].[Project_ID].[All]" dimensionUniqueName="[Table1]" displayFolder="" count="0" memberValueDatatype="130" unbalanced="0"/>
    <cacheHierarchy uniqueName="[Table1].[Project_Name]" caption="Project_Name" attribute="1" defaultMemberUniqueName="[Table1].[Project_Name].[All]" allUniqueName="[Table1].[Project_Name].[All]" dimensionUniqueName="[Table1]" displayFolder="" count="0" memberValueDatatype="130" unbalanced="0"/>
    <cacheHierarchy uniqueName="[Table1].[Site_Location]" caption="Site_Location" attribute="1" defaultMemberUniqueName="[Table1].[Site_Location].[All]" allUniqueName="[Table1].[Site_Location].[All]" dimensionUniqueName="[Table1]" displayFolder="" count="0" memberValueDatatype="130" unbalanced="0"/>
    <cacheHierarchy uniqueName="[Table1].[Project_Type]" caption="Project_Type" attribute="1" defaultMemberUniqueName="[Table1].[Project_Type].[All]" allUniqueName="[Table1].[Project_Type].[All]" dimensionUniqueName="[Table1]" displayFolder="" count="2" memberValueDatatype="130" unbalanced="0">
      <fieldsUsage count="2">
        <fieldUsage x="-1"/>
        <fieldUsage x="0"/>
      </fieldsUsage>
    </cacheHierarchy>
    <cacheHierarchy uniqueName="[Table1].[Project_Manager]" caption="Project_Manager" attribute="1" defaultMemberUniqueName="[Table1].[Project_Manager].[All]" allUniqueName="[Table1].[Project_Manager].[All]" dimensionUniqueName="[Table1]" displayFolder="" count="0" memberValueDatatype="130" unbalanced="0"/>
    <cacheHierarchy uniqueName="[Table1].[Main_Contractor]" caption="Main_Contractor" attribute="1" defaultMemberUniqueName="[Table1].[Main_Contractor].[All]" allUniqueName="[Table1].[Main_Contractor].[All]" dimensionUniqueName="[Table1]" displayFolder="" count="0" memberValueDatatype="130" unbalanced="0"/>
    <cacheHierarchy uniqueName="[Table1].[Material_Category]" caption="Material_Category" attribute="1" defaultMemberUniqueName="[Table1].[Material_Category].[All]" allUniqueName="[Table1].[Material_Category].[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Planned_Duration_Days]" caption="Planned_Duration_Days" attribute="1" defaultMemberUniqueName="[Table1].[Planned_Duration_Days].[All]" allUniqueName="[Table1].[Planned_Duration_Days].[All]" dimensionUniqueName="[Table1]" displayFolder="" count="0" memberValueDatatype="20" unbalanced="0"/>
    <cacheHierarchy uniqueName="[Table1].[Actual_Duration_Days]" caption="Actual_Duration_Days" attribute="1" defaultMemberUniqueName="[Table1].[Actual_Duration_Days].[All]" allUniqueName="[Table1].[Actual_Duration_Days].[All]" dimensionUniqueName="[Table1]" displayFolder="" count="0" memberValueDatatype="20" unbalanced="0"/>
    <cacheHierarchy uniqueName="[Table1].[Budget_ZAR]" caption="Budget_ZAR" attribute="1" defaultMemberUniqueName="[Table1].[Budget_ZAR].[All]" allUniqueName="[Table1].[Budget_ZAR].[All]" dimensionUniqueName="[Table1]" displayFolder="" count="0" memberValueDatatype="5" unbalanced="0"/>
    <cacheHierarchy uniqueName="[Table1].[Budget_Missing]" caption="Budget_Missing" attribute="1" defaultMemberUniqueName="[Table1].[Budget_Missing].[All]" allUniqueName="[Table1].[Budget_Missing].[All]" dimensionUniqueName="[Table1]" displayFolder="" count="0" memberValueDatatype="130" unbalanced="0"/>
    <cacheHierarchy uniqueName="[Table1].[Actual_Cost_ZAR]" caption="Actual_Cost_ZAR" attribute="1" defaultMemberUniqueName="[Table1].[Actual_Cost_ZAR].[All]" allUniqueName="[Table1].[Actual_Cost_ZAR].[All]" dimensionUniqueName="[Table1]" displayFolder="" count="0" memberValueDatatype="5" unbalanced="0"/>
    <cacheHierarchy uniqueName="[Table1].[Actual_Missing]" caption="Actual_Missing" attribute="1" defaultMemberUniqueName="[Table1].[Actual_Missing].[All]" allUniqueName="[Table1].[Actual_Missing].[All]" dimensionUniqueName="[Table1]" displayFolder="" count="0" memberValueDatatype="130" unbalanced="0"/>
    <cacheHierarchy uniqueName="[Table1].[Cost_Data _Flag]" caption="Cost_Data _Flag" attribute="1" defaultMemberUniqueName="[Table1].[Cost_Data _Flag].[All]" allUniqueName="[Table1].[Cost_Data _Flag].[All]" dimensionUniqueName="[Table1]" displayFolder="" count="0" memberValueDatatype="130" unbalanced="0"/>
    <cacheHierarchy uniqueName="[Table1].[Progress_Percent]" caption="Progress_Percent" attribute="1" defaultMemberUniqueName="[Table1].[Progress_Percent].[All]" allUniqueName="[Table1].[Progress_Percent].[All]" dimensionUniqueName="[Table1]" displayFolder="" count="0" memberValueDatatype="130" unbalanced="0"/>
    <cacheHierarchy uniqueName="[Table1].[Project_Status]" caption="Project_Status" attribute="1" defaultMemberUniqueName="[Table1].[Project_Status].[All]" allUniqueName="[Table1].[Project_Status].[All]" dimensionUniqueName="[Table1]" displayFolder="" count="0" memberValueDatatype="130" unbalanced="0"/>
    <cacheHierarchy uniqueName="[Table1].[Project_Expected_Status]" caption="Project_Expected_Status" attribute="1" defaultMemberUniqueName="[Table1].[Project_Expected_Status].[All]" allUniqueName="[Table1].[Project_Expected_Status].[All]" dimensionUniqueName="[Table1]" displayFolder="" count="0" memberValueDatatype="130" unbalanced="0"/>
    <cacheHierarchy uniqueName="[Table1].[Project_Status_Check]" caption="Project_Status_Check" attribute="1" defaultMemberUniqueName="[Table1].[Project_Status_Check].[All]" allUniqueName="[Table1].[Project_Status_Check].[All]" dimensionUniqueName="[Table1]" displayFolder="" count="0" memberValueDatatype="130" unbalanced="0"/>
    <cacheHierarchy uniqueName="[Table1].[Last_Updated]" caption="Last_Updated" attribute="1" time="1" defaultMemberUniqueName="[Table1].[Last_Updated].[All]" allUniqueName="[Table1].[Last_Updated].[All]" dimensionUniqueName="[Table1]" displayFolder="" count="0" memberValueDatatype="7" unbalanced="0"/>
    <cacheHierarchy uniqueName="[Table1].[Schedule_Variance]" caption="Schedule_Variance" attribute="1" defaultMemberUniqueName="[Table1].[Schedule_Variance].[All]" allUniqueName="[Table1].[Schedule_Variance].[All]" dimensionUniqueName="[Table1]" displayFolder="" count="0" memberValueDatatype="20" unbalanced="0"/>
    <cacheHierarchy uniqueName="[Table1].[Schedule_Status]" caption="Schedule_Status" attribute="1" defaultMemberUniqueName="[Table1].[Schedule_Status].[All]" allUniqueName="[Table1].[Schedule_Status].[All]" dimensionUniqueName="[Table1]" displayFolder="" count="0" memberValueDatatype="130" unbalanced="0"/>
    <cacheHierarchy uniqueName="[Table1].[Cost_Variance]" caption="Cost_Variance" attribute="1" defaultMemberUniqueName="[Table1].[Cost_Variance].[All]" allUniqueName="[Table1].[Cost_Variance].[All]" dimensionUniqueName="[Table1]" displayFolder="" count="0" memberValueDatatype="130" unbalanced="0"/>
    <cacheHierarchy uniqueName="[Table1].[Cost_Variance_Percentage]" caption="Cost_Variance_Percentage" attribute="1" defaultMemberUniqueName="[Table1].[Cost_Variance_Percentage].[All]" allUniqueName="[Table1].[Cost_Variance_Percentage].[All]" dimensionUniqueName="[Table1]" displayFolder="" count="0" memberValueDatatype="130" unbalanced="0"/>
    <cacheHierarchy uniqueName="[Table1].[Budget_Status]" caption="Budget_Status" attribute="1" defaultMemberUniqueName="[Table1].[Budget_Status].[All]" allUniqueName="[Table1].[Budget_Status].[All]" dimensionUniqueName="[Table1]" displayFolder="" count="0" memberValueDatatype="130" unbalanced="0"/>
    <cacheHierarchy uniqueName="[Table1].[Cost_Variance_Pivot]" caption="Cost_Variance_Pivot" attribute="1" defaultMemberUniqueName="[Table1].[Cost_Variance_Pivot].[All]" allUniqueName="[Table1].[Cost_Variance_Pivot].[All]" dimensionUniqueName="[Table1]" displayFolder="" count="0" memberValueDatatype="5" unbalanced="0"/>
    <cacheHierarchy uniqueName="[Table1].[Cost_Variance_Percentage_Pivot]" caption="Cost_Variance_Percentage_Pivot" attribute="1" defaultMemberUniqueName="[Table1].[Cost_Variance_Percentage_Pivot].[All]" allUniqueName="[Table1].[Cost_Variance_Percentage_Pivot].[All]" dimensionUniqueName="[Table1]" displayFolder="" count="0" memberValueDatatype="5" unbalanced="0"/>
    <cacheHierarchy uniqueName="[Table1].[Latest_Record_Flag]" caption="Latest_Record_Flag" attribute="1" defaultMemberUniqueName="[Table1].[Latest_Record_Flag].[All]" allUniqueName="[Table1].[Latest_Record_Flag].[All]" dimensionUniqueName="[Table1]" displayFolder="" count="0" memberValueDatatype="130" unbalanced="0"/>
    <cacheHierarchy uniqueName="[Table1].[Valid_Date_Count]" caption="Valid_Date_Count" attribute="1" defaultMemberUniqueName="[Table1].[Valid_Date_Count].[All]" allUniqueName="[Table1].[Valid_Date_Count].[All]" dimensionUniqueName="[Table1]" displayFolder="" count="0" memberValueDatatype="20" unbalanced="0"/>
    <cacheHierarchy uniqueName="[Table1].[Latest_Count]" caption="Latest_Count" attribute="1" defaultMemberUniqueName="[Table1].[Latest_Count].[All]" allUniqueName="[Table1].[Latest_Count].[All]" dimensionUniqueName="[Table1]" displayFolder="" count="0" memberValueDatatype="20" unbalanced="0"/>
    <cacheHierarchy uniqueName="[Table1].[Record_Review_Flag]" caption="Record_Review_Flag" attribute="1" defaultMemberUniqueName="[Table1].[Record_Review_Flag].[All]" allUniqueName="[Table1].[Record_Review_Flag].[All]" dimensionUniqueName="[Table1]" displayFolder="" count="0" memberValueDatatype="130" unbalanced="0"/>
    <cacheHierarchy uniqueName="[Table1].[Latest_Record_Check]" caption="Latest_Record_Check" attribute="1" defaultMemberUniqueName="[Table1].[Latest_Record_Check].[All]" allUniqueName="[Table1].[Latest_Record_Check].[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roject_ID]" caption="Count of Project_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roject_ID]" caption="Distinct Count of Project_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Schedule_Variance]" caption="Sum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Average of Schedule_Variance]" caption="Average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Count of Schedule_Variance]" caption="Count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Sum of Budget_ZAR]" caption="Sum of Budget_ZAR"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Actual_Cost_ZAR]" caption="Sum of Actual_Cost_ZAR" measure="1" displayFolder="" measureGroup="Table1" count="0" oneField="1" hidden="1">
      <fieldsUsage count="1">
        <fieldUsage x="3"/>
      </fieldsUsage>
      <extLst>
        <ext xmlns:x15="http://schemas.microsoft.com/office/spreadsheetml/2010/11/main" uri="{B97F6D7D-B522-45F9-BDA1-12C45D357490}">
          <x15:cacheHierarchy aggregatedColumn="13"/>
        </ext>
      </extLst>
    </cacheHierarchy>
    <cacheHierarchy uniqueName="[Measures].[Count of Cost_Variance]" caption="Count of Cost_Variance" measure="1" displayFolder="" measureGroup="Table1" count="0" hidden="1">
      <extLst>
        <ext xmlns:x15="http://schemas.microsoft.com/office/spreadsheetml/2010/11/main" uri="{B97F6D7D-B522-45F9-BDA1-12C45D357490}">
          <x15:cacheHierarchy aggregatedColumn="23"/>
        </ext>
      </extLst>
    </cacheHierarchy>
    <cacheHierarchy uniqueName="[Measures].[Count of Cost_Variance_Percentage]" caption="Count of Cost_Variance_Percentage" measure="1" displayFolder="" measureGroup="Table1" count="0" hidden="1">
      <extLst>
        <ext xmlns:x15="http://schemas.microsoft.com/office/spreadsheetml/2010/11/main" uri="{B97F6D7D-B522-45F9-BDA1-12C45D357490}">
          <x15:cacheHierarchy aggregatedColumn="24"/>
        </ext>
      </extLst>
    </cacheHierarchy>
    <cacheHierarchy uniqueName="[Measures].[Sum of Cost_Variance_Pivot]" caption="Sum of Cost_Variance_Pivot" measure="1" displayFolder="" measureGroup="Table1" count="0" oneField="1" hidden="1">
      <fieldsUsage count="1">
        <fieldUsage x="4"/>
      </fieldsUsage>
      <extLst>
        <ext xmlns:x15="http://schemas.microsoft.com/office/spreadsheetml/2010/11/main" uri="{B97F6D7D-B522-45F9-BDA1-12C45D357490}">
          <x15:cacheHierarchy aggregatedColumn="26"/>
        </ext>
      </extLst>
    </cacheHierarchy>
    <cacheHierarchy uniqueName="[Measures].[Sum of Cost_Variance_Percentage_Pivot]" caption="Sum of Cost_Variance_Percentage_Pivot" measure="1" displayFolder="" measureGroup="Table1" count="0" hidden="1">
      <extLst>
        <ext xmlns:x15="http://schemas.microsoft.com/office/spreadsheetml/2010/11/main" uri="{B97F6D7D-B522-45F9-BDA1-12C45D357490}">
          <x15:cacheHierarchy aggregatedColumn="27"/>
        </ext>
      </extLst>
    </cacheHierarchy>
    <cacheHierarchy uniqueName="[Measures].[Average of Cost_Variance_Percentage_Pivot]" caption="Average of Cost_Variance_Percentage_Pivot" measure="1" displayFolder="" measureGroup="Table1" count="0" oneField="1" hidden="1">
      <fieldsUsage count="1">
        <fieldUsage x="5"/>
      </fieldsUsage>
      <extLst>
        <ext xmlns:x15="http://schemas.microsoft.com/office/spreadsheetml/2010/11/main" uri="{B97F6D7D-B522-45F9-BDA1-12C45D357490}">
          <x15:cacheHierarchy aggregatedColumn="27"/>
        </ext>
      </extLst>
    </cacheHierarchy>
    <cacheHierarchy uniqueName="[Measures].[Average of Cost_Variance_Pivot]" caption="Average of Cost_Variance_Pivot" measure="1" displayFolder="" measureGroup="Table1"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onia Patience Munedzimwe" refreshedDate="46308.932823495372" backgroundQuery="1" createdVersion="8" refreshedVersion="8" minRefreshableVersion="3" recordCount="0" supportSubquery="1" supportAdvancedDrill="1" xr:uid="{FE00E263-0CD3-46C0-A20E-24931FF05C18}">
  <cacheSource type="external" connectionId="1"/>
  <cacheFields count="7">
    <cacheField name="[Table1].[Project_Type].[Project_Type]" caption="Project_Type" numFmtId="0" hierarchy="4" level="1">
      <sharedItems count="5">
        <s v="Commercial"/>
        <s v="Infrastructure"/>
        <s v="Renovation"/>
        <s v="Residential"/>
        <s v="Roadworks"/>
      </sharedItems>
    </cacheField>
    <cacheField name="[Measures].[Distinct Count of Project_ID]" caption="Distinct Count of Project_ID" numFmtId="0" hierarchy="36" level="32767"/>
    <cacheField name="[Measures].[Sum of Budget_ZAR]" caption="Sum of Budget_ZAR" numFmtId="0" hierarchy="40" level="32767"/>
    <cacheField name="[Measures].[Sum of Actual_Cost_ZAR]" caption="Sum of Actual_Cost_ZAR" numFmtId="0" hierarchy="41" level="32767"/>
    <cacheField name="[Measures].[Sum of Cost_Variance_Pivot]" caption="Sum of Cost_Variance_Pivot" numFmtId="0" hierarchy="44" level="32767"/>
    <cacheField name="[Measures].[Average of Cost_Variance_Percentage_Pivot]" caption="Average of Cost_Variance_Percentage_Pivot" numFmtId="0" hierarchy="46" level="32767"/>
    <cacheField name="[Table1].[Cost_Data _Flag].[Cost_Data _Flag]" caption="Cost_Data _Flag" numFmtId="0" hierarchy="15" level="1">
      <sharedItems containsSemiMixedTypes="0" containsNonDate="0" containsString="0"/>
    </cacheField>
  </cacheFields>
  <cacheHierarchies count="48">
    <cacheHierarchy uniqueName="[Table1].[Record_ID]" caption="Record_ID" attribute="1" defaultMemberUniqueName="[Table1].[Record_ID].[All]" allUniqueName="[Table1].[Record_ID].[All]" dimensionUniqueName="[Table1]" displayFolder="" count="0" memberValueDatatype="130" unbalanced="0"/>
    <cacheHierarchy uniqueName="[Table1].[Project_ID]" caption="Project_ID" attribute="1" defaultMemberUniqueName="[Table1].[Project_ID].[All]" allUniqueName="[Table1].[Project_ID].[All]" dimensionUniqueName="[Table1]" displayFolder="" count="0" memberValueDatatype="130" unbalanced="0"/>
    <cacheHierarchy uniqueName="[Table1].[Project_Name]" caption="Project_Name" attribute="1" defaultMemberUniqueName="[Table1].[Project_Name].[All]" allUniqueName="[Table1].[Project_Name].[All]" dimensionUniqueName="[Table1]" displayFolder="" count="0" memberValueDatatype="130" unbalanced="0"/>
    <cacheHierarchy uniqueName="[Table1].[Site_Location]" caption="Site_Location" attribute="1" defaultMemberUniqueName="[Table1].[Site_Location].[All]" allUniqueName="[Table1].[Site_Location].[All]" dimensionUniqueName="[Table1]" displayFolder="" count="0" memberValueDatatype="130" unbalanced="0"/>
    <cacheHierarchy uniqueName="[Table1].[Project_Type]" caption="Project_Type" attribute="1" defaultMemberUniqueName="[Table1].[Project_Type].[All]" allUniqueName="[Table1].[Project_Type].[All]" dimensionUniqueName="[Table1]" displayFolder="" count="2" memberValueDatatype="130" unbalanced="0">
      <fieldsUsage count="2">
        <fieldUsage x="-1"/>
        <fieldUsage x="0"/>
      </fieldsUsage>
    </cacheHierarchy>
    <cacheHierarchy uniqueName="[Table1].[Project_Manager]" caption="Project_Manager" attribute="1" defaultMemberUniqueName="[Table1].[Project_Manager].[All]" allUniqueName="[Table1].[Project_Manager].[All]" dimensionUniqueName="[Table1]" displayFolder="" count="0" memberValueDatatype="130" unbalanced="0"/>
    <cacheHierarchy uniqueName="[Table1].[Main_Contractor]" caption="Main_Contractor" attribute="1" defaultMemberUniqueName="[Table1].[Main_Contractor].[All]" allUniqueName="[Table1].[Main_Contractor].[All]" dimensionUniqueName="[Table1]" displayFolder="" count="0" memberValueDatatype="130" unbalanced="0"/>
    <cacheHierarchy uniqueName="[Table1].[Material_Category]" caption="Material_Category" attribute="1" defaultMemberUniqueName="[Table1].[Material_Category].[All]" allUniqueName="[Table1].[Material_Category].[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Planned_Duration_Days]" caption="Planned_Duration_Days" attribute="1" defaultMemberUniqueName="[Table1].[Planned_Duration_Days].[All]" allUniqueName="[Table1].[Planned_Duration_Days].[All]" dimensionUniqueName="[Table1]" displayFolder="" count="0" memberValueDatatype="20" unbalanced="0"/>
    <cacheHierarchy uniqueName="[Table1].[Actual_Duration_Days]" caption="Actual_Duration_Days" attribute="1" defaultMemberUniqueName="[Table1].[Actual_Duration_Days].[All]" allUniqueName="[Table1].[Actual_Duration_Days].[All]" dimensionUniqueName="[Table1]" displayFolder="" count="0" memberValueDatatype="20" unbalanced="0"/>
    <cacheHierarchy uniqueName="[Table1].[Budget_ZAR]" caption="Budget_ZAR" attribute="1" defaultMemberUniqueName="[Table1].[Budget_ZAR].[All]" allUniqueName="[Table1].[Budget_ZAR].[All]" dimensionUniqueName="[Table1]" displayFolder="" count="0" memberValueDatatype="5" unbalanced="0"/>
    <cacheHierarchy uniqueName="[Table1].[Budget_Missing]" caption="Budget_Missing" attribute="1" defaultMemberUniqueName="[Table1].[Budget_Missing].[All]" allUniqueName="[Table1].[Budget_Missing].[All]" dimensionUniqueName="[Table1]" displayFolder="" count="0" memberValueDatatype="130" unbalanced="0"/>
    <cacheHierarchy uniqueName="[Table1].[Actual_Cost_ZAR]" caption="Actual_Cost_ZAR" attribute="1" defaultMemberUniqueName="[Table1].[Actual_Cost_ZAR].[All]" allUniqueName="[Table1].[Actual_Cost_ZAR].[All]" dimensionUniqueName="[Table1]" displayFolder="" count="0" memberValueDatatype="5" unbalanced="0"/>
    <cacheHierarchy uniqueName="[Table1].[Actual_Missing]" caption="Actual_Missing" attribute="1" defaultMemberUniqueName="[Table1].[Actual_Missing].[All]" allUniqueName="[Table1].[Actual_Missing].[All]" dimensionUniqueName="[Table1]" displayFolder="" count="0" memberValueDatatype="130" unbalanced="0"/>
    <cacheHierarchy uniqueName="[Table1].[Cost_Data _Flag]" caption="Cost_Data _Flag" attribute="1" defaultMemberUniqueName="[Table1].[Cost_Data _Flag].[All]" allUniqueName="[Table1].[Cost_Data _Flag].[All]" dimensionUniqueName="[Table1]" displayFolder="" count="2" memberValueDatatype="130" unbalanced="0">
      <fieldsUsage count="2">
        <fieldUsage x="-1"/>
        <fieldUsage x="6"/>
      </fieldsUsage>
    </cacheHierarchy>
    <cacheHierarchy uniqueName="[Table1].[Progress_Percent]" caption="Progress_Percent" attribute="1" defaultMemberUniqueName="[Table1].[Progress_Percent].[All]" allUniqueName="[Table1].[Progress_Percent].[All]" dimensionUniqueName="[Table1]" displayFolder="" count="0" memberValueDatatype="130" unbalanced="0"/>
    <cacheHierarchy uniqueName="[Table1].[Project_Status]" caption="Project_Status" attribute="1" defaultMemberUniqueName="[Table1].[Project_Status].[All]" allUniqueName="[Table1].[Project_Status].[All]" dimensionUniqueName="[Table1]" displayFolder="" count="0" memberValueDatatype="130" unbalanced="0"/>
    <cacheHierarchy uniqueName="[Table1].[Project_Expected_Status]" caption="Project_Expected_Status" attribute="1" defaultMemberUniqueName="[Table1].[Project_Expected_Status].[All]" allUniqueName="[Table1].[Project_Expected_Status].[All]" dimensionUniqueName="[Table1]" displayFolder="" count="0" memberValueDatatype="130" unbalanced="0"/>
    <cacheHierarchy uniqueName="[Table1].[Project_Status_Check]" caption="Project_Status_Check" attribute="1" defaultMemberUniqueName="[Table1].[Project_Status_Check].[All]" allUniqueName="[Table1].[Project_Status_Check].[All]" dimensionUniqueName="[Table1]" displayFolder="" count="0" memberValueDatatype="130" unbalanced="0"/>
    <cacheHierarchy uniqueName="[Table1].[Last_Updated]" caption="Last_Updated" attribute="1" time="1" defaultMemberUniqueName="[Table1].[Last_Updated].[All]" allUniqueName="[Table1].[Last_Updated].[All]" dimensionUniqueName="[Table1]" displayFolder="" count="0" memberValueDatatype="7" unbalanced="0"/>
    <cacheHierarchy uniqueName="[Table1].[Schedule_Variance]" caption="Schedule_Variance" attribute="1" defaultMemberUniqueName="[Table1].[Schedule_Variance].[All]" allUniqueName="[Table1].[Schedule_Variance].[All]" dimensionUniqueName="[Table1]" displayFolder="" count="0" memberValueDatatype="20" unbalanced="0"/>
    <cacheHierarchy uniqueName="[Table1].[Schedule_Status]" caption="Schedule_Status" attribute="1" defaultMemberUniqueName="[Table1].[Schedule_Status].[All]" allUniqueName="[Table1].[Schedule_Status].[All]" dimensionUniqueName="[Table1]" displayFolder="" count="0" memberValueDatatype="130" unbalanced="0"/>
    <cacheHierarchy uniqueName="[Table1].[Cost_Variance]" caption="Cost_Variance" attribute="1" defaultMemberUniqueName="[Table1].[Cost_Variance].[All]" allUniqueName="[Table1].[Cost_Variance].[All]" dimensionUniqueName="[Table1]" displayFolder="" count="0" memberValueDatatype="130" unbalanced="0"/>
    <cacheHierarchy uniqueName="[Table1].[Cost_Variance_Percentage]" caption="Cost_Variance_Percentage" attribute="1" defaultMemberUniqueName="[Table1].[Cost_Variance_Percentage].[All]" allUniqueName="[Table1].[Cost_Variance_Percentage].[All]" dimensionUniqueName="[Table1]" displayFolder="" count="0" memberValueDatatype="130" unbalanced="0"/>
    <cacheHierarchy uniqueName="[Table1].[Budget_Status]" caption="Budget_Status" attribute="1" defaultMemberUniqueName="[Table1].[Budget_Status].[All]" allUniqueName="[Table1].[Budget_Status].[All]" dimensionUniqueName="[Table1]" displayFolder="" count="0" memberValueDatatype="130" unbalanced="0"/>
    <cacheHierarchy uniqueName="[Table1].[Cost_Variance_Pivot]" caption="Cost_Variance_Pivot" attribute="1" defaultMemberUniqueName="[Table1].[Cost_Variance_Pivot].[All]" allUniqueName="[Table1].[Cost_Variance_Pivot].[All]" dimensionUniqueName="[Table1]" displayFolder="" count="0" memberValueDatatype="5" unbalanced="0"/>
    <cacheHierarchy uniqueName="[Table1].[Cost_Variance_Percentage_Pivot]" caption="Cost_Variance_Percentage_Pivot" attribute="1" defaultMemberUniqueName="[Table1].[Cost_Variance_Percentage_Pivot].[All]" allUniqueName="[Table1].[Cost_Variance_Percentage_Pivot].[All]" dimensionUniqueName="[Table1]" displayFolder="" count="0" memberValueDatatype="5" unbalanced="0"/>
    <cacheHierarchy uniqueName="[Table1].[Latest_Record_Flag]" caption="Latest_Record_Flag" attribute="1" defaultMemberUniqueName="[Table1].[Latest_Record_Flag].[All]" allUniqueName="[Table1].[Latest_Record_Flag].[All]" dimensionUniqueName="[Table1]" displayFolder="" count="0" memberValueDatatype="130" unbalanced="0"/>
    <cacheHierarchy uniqueName="[Table1].[Valid_Date_Count]" caption="Valid_Date_Count" attribute="1" defaultMemberUniqueName="[Table1].[Valid_Date_Count].[All]" allUniqueName="[Table1].[Valid_Date_Count].[All]" dimensionUniqueName="[Table1]" displayFolder="" count="0" memberValueDatatype="20" unbalanced="0"/>
    <cacheHierarchy uniqueName="[Table1].[Latest_Count]" caption="Latest_Count" attribute="1" defaultMemberUniqueName="[Table1].[Latest_Count].[All]" allUniqueName="[Table1].[Latest_Count].[All]" dimensionUniqueName="[Table1]" displayFolder="" count="0" memberValueDatatype="20" unbalanced="0"/>
    <cacheHierarchy uniqueName="[Table1].[Record_Review_Flag]" caption="Record_Review_Flag" attribute="1" defaultMemberUniqueName="[Table1].[Record_Review_Flag].[All]" allUniqueName="[Table1].[Record_Review_Flag].[All]" dimensionUniqueName="[Table1]" displayFolder="" count="0" memberValueDatatype="130" unbalanced="0"/>
    <cacheHierarchy uniqueName="[Table1].[Latest_Record_Check]" caption="Latest_Record_Check" attribute="1" defaultMemberUniqueName="[Table1].[Latest_Record_Check].[All]" allUniqueName="[Table1].[Latest_Record_Check].[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roject_ID]" caption="Count of Project_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roject_ID]" caption="Distinct Count of Project_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Schedule_Variance]" caption="Sum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Average of Schedule_Variance]" caption="Average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Count of Schedule_Variance]" caption="Count of Schedule_Variance" measure="1" displayFolder="" measureGroup="Table1" count="0" hidden="1">
      <extLst>
        <ext xmlns:x15="http://schemas.microsoft.com/office/spreadsheetml/2010/11/main" uri="{B97F6D7D-B522-45F9-BDA1-12C45D357490}">
          <x15:cacheHierarchy aggregatedColumn="21"/>
        </ext>
      </extLst>
    </cacheHierarchy>
    <cacheHierarchy uniqueName="[Measures].[Sum of Budget_ZAR]" caption="Sum of Budget_ZAR"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Actual_Cost_ZAR]" caption="Sum of Actual_Cost_ZAR" measure="1" displayFolder="" measureGroup="Table1" count="0" oneField="1" hidden="1">
      <fieldsUsage count="1">
        <fieldUsage x="3"/>
      </fieldsUsage>
      <extLst>
        <ext xmlns:x15="http://schemas.microsoft.com/office/spreadsheetml/2010/11/main" uri="{B97F6D7D-B522-45F9-BDA1-12C45D357490}">
          <x15:cacheHierarchy aggregatedColumn="13"/>
        </ext>
      </extLst>
    </cacheHierarchy>
    <cacheHierarchy uniqueName="[Measures].[Count of Cost_Variance]" caption="Count of Cost_Variance" measure="1" displayFolder="" measureGroup="Table1" count="0" hidden="1">
      <extLst>
        <ext xmlns:x15="http://schemas.microsoft.com/office/spreadsheetml/2010/11/main" uri="{B97F6D7D-B522-45F9-BDA1-12C45D357490}">
          <x15:cacheHierarchy aggregatedColumn="23"/>
        </ext>
      </extLst>
    </cacheHierarchy>
    <cacheHierarchy uniqueName="[Measures].[Count of Cost_Variance_Percentage]" caption="Count of Cost_Variance_Percentage" measure="1" displayFolder="" measureGroup="Table1" count="0" hidden="1">
      <extLst>
        <ext xmlns:x15="http://schemas.microsoft.com/office/spreadsheetml/2010/11/main" uri="{B97F6D7D-B522-45F9-BDA1-12C45D357490}">
          <x15:cacheHierarchy aggregatedColumn="24"/>
        </ext>
      </extLst>
    </cacheHierarchy>
    <cacheHierarchy uniqueName="[Measures].[Sum of Cost_Variance_Pivot]" caption="Sum of Cost_Variance_Pivot" measure="1" displayFolder="" measureGroup="Table1" count="0" oneField="1" hidden="1">
      <fieldsUsage count="1">
        <fieldUsage x="4"/>
      </fieldsUsage>
      <extLst>
        <ext xmlns:x15="http://schemas.microsoft.com/office/spreadsheetml/2010/11/main" uri="{B97F6D7D-B522-45F9-BDA1-12C45D357490}">
          <x15:cacheHierarchy aggregatedColumn="26"/>
        </ext>
      </extLst>
    </cacheHierarchy>
    <cacheHierarchy uniqueName="[Measures].[Sum of Cost_Variance_Percentage_Pivot]" caption="Sum of Cost_Variance_Percentage_Pivot" measure="1" displayFolder="" measureGroup="Table1" count="0" hidden="1">
      <extLst>
        <ext xmlns:x15="http://schemas.microsoft.com/office/spreadsheetml/2010/11/main" uri="{B97F6D7D-B522-45F9-BDA1-12C45D357490}">
          <x15:cacheHierarchy aggregatedColumn="27"/>
        </ext>
      </extLst>
    </cacheHierarchy>
    <cacheHierarchy uniqueName="[Measures].[Average of Cost_Variance_Percentage_Pivot]" caption="Average of Cost_Variance_Percentage_Pivot" measure="1" displayFolder="" measureGroup="Table1" count="0" oneField="1" hidden="1">
      <fieldsUsage count="1">
        <fieldUsage x="5"/>
      </fieldsUsage>
      <extLst>
        <ext xmlns:x15="http://schemas.microsoft.com/office/spreadsheetml/2010/11/main" uri="{B97F6D7D-B522-45F9-BDA1-12C45D357490}">
          <x15:cacheHierarchy aggregatedColumn="27"/>
        </ext>
      </extLst>
    </cacheHierarchy>
    <cacheHierarchy uniqueName="[Measures].[Average of Cost_Variance_Pivot]" caption="Average of Cost_Variance_Pivot" measure="1" displayFolder="" measureGroup="Table1"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F2E76A-43D4-4473-836E-3B1C5385EF33}" name="PivotTable13"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Budget_Status">
  <location ref="A53:B5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Unique_Project_Count" fld="1" subtotal="count" baseField="0" baseItem="1">
      <extLst>
        <ext xmlns:x15="http://schemas.microsoft.com/office/spreadsheetml/2010/11/main" uri="{FABC7310-3BB5-11E1-824E-6D434824019B}">
          <x15:dataField isCountDistinct="1"/>
        </ext>
      </extLst>
    </dataField>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Unique_Project_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Construction Project Controls ^0 Performance 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BDD116-9FC1-4CBD-866D-6046CF5F6C8E}" name="PivotTable1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chedule_Status">
  <location ref="A23:B2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Unique_Project_Count" fld="1" subtotal="count" baseField="0" baseItem="0">
      <extLst>
        <ext xmlns:x15="http://schemas.microsoft.com/office/spreadsheetml/2010/11/main" uri="{FABC7310-3BB5-11E1-824E-6D434824019B}">
          <x15:dataField isCountDistinct="1"/>
        </ext>
      </extLst>
    </dataField>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Unique_Project_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Construction Project Controls ^0 Performance 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6A2A30-6C98-42C8-9293-A1CDE063EDCE}" name="PivotTable9"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Project_Status">
  <location ref="A4:B9"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Project_Count" fld="1" subtotal="count" baseField="0" baseItem="1">
      <extLst>
        <ext xmlns:x15="http://schemas.microsoft.com/office/spreadsheetml/2010/11/main" uri="{FABC7310-3BB5-11E1-824E-6D434824019B}">
          <x15:dataField isCountDistinct="1"/>
        </ext>
      </extLst>
    </dataField>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Project_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Construction Project Controls ^0 Performance 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ECE239-6A2B-41BC-B754-DC303DA3D56D}"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Budget_Status">
  <location ref="A93:B97" firstHeaderRow="1" firstDataRow="1" firstDataCol="1" rowPageCount="1" colPageCount="1"/>
  <pivotFields count="3">
    <pivotField axis="axisRow" allDrilled="1" subtotalTop="0" showAll="0" dataSourceSort="1" defaultSubtotal="0" defaultAttributeDrillState="1">
      <items count="3">
        <item x="0"/>
        <item x="1"/>
        <item x="2"/>
      </items>
    </pivotField>
    <pivotField dataField="1" subtotalTop="0" showAll="0" defaultSubtotal="0"/>
    <pivotField axis="axisPage" allDrilled="1" subtotalTop="0" showAll="0" dataSourceSort="1" defaultSubtotal="0" defaultAttributeDrillState="1"/>
  </pivotFields>
  <rowFields count="1">
    <field x="0"/>
  </rowFields>
  <rowItems count="4">
    <i>
      <x/>
    </i>
    <i>
      <x v="1"/>
    </i>
    <i>
      <x v="2"/>
    </i>
    <i t="grand">
      <x/>
    </i>
  </rowItems>
  <colItems count="1">
    <i/>
  </colItems>
  <pageFields count="1">
    <pageField fld="2" hier="28" name="[Table1].[Latest_Record_Flag].&amp;[Latest]" cap="Latest"/>
  </pageFields>
  <dataFields count="1">
    <dataField name="Project_Count" fld="1" subtotal="count" baseField="0" baseItem="0">
      <extLst>
        <ext xmlns:x15="http://schemas.microsoft.com/office/spreadsheetml/2010/11/main" uri="{FABC7310-3BB5-11E1-824E-6D434824019B}">
          <x15:dataField isCountDistinct="1"/>
        </ext>
      </extLst>
    </dataField>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roject_Count"/>
    <pivotHierarchy dragToData="1" caption="Project_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Construction Project Controls ^0 Performance 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F70BF8-226B-4736-9E8E-A0873D20A6B1}" name="PivotTable4"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Project_Type">
  <location ref="A43:F49" firstHeaderRow="0" firstDataRow="1" firstDataCol="1" rowPageCount="1" colPageCount="1"/>
  <pivotFields count="7">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6">
    <i>
      <x/>
    </i>
    <i>
      <x v="1"/>
    </i>
    <i>
      <x v="2"/>
    </i>
    <i>
      <x v="3"/>
    </i>
    <i>
      <x v="4"/>
    </i>
    <i t="grand">
      <x/>
    </i>
  </rowItems>
  <colFields count="1">
    <field x="-2"/>
  </colFields>
  <colItems count="5">
    <i>
      <x/>
    </i>
    <i i="1">
      <x v="1"/>
    </i>
    <i i="2">
      <x v="2"/>
    </i>
    <i i="3">
      <x v="3"/>
    </i>
    <i i="4">
      <x v="4"/>
    </i>
  </colItems>
  <pageFields count="1">
    <pageField fld="6" hier="15" name="[Table1].[Cost_Data _Flag].&amp;[Complete]" cap="Complete"/>
  </pageFields>
  <dataFields count="5">
    <dataField name="Unique_Project_Count" fld="1" subtotal="count" baseField="0" baseItem="2">
      <extLst>
        <ext xmlns:x15="http://schemas.microsoft.com/office/spreadsheetml/2010/11/main" uri="{FABC7310-3BB5-11E1-824E-6D434824019B}">
          <x15:dataField isCountDistinct="1"/>
        </ext>
      </extLst>
    </dataField>
    <dataField name="Budget_ZAR_Sum" fld="2" baseField="0" baseItem="4" numFmtId="166"/>
    <dataField name="Actual_Cost_ZAR_Sum" fld="3" baseField="0" baseItem="4" numFmtId="166"/>
    <dataField name="Cost_Variance_Sum" fld="4" baseField="0" baseItem="2" numFmtId="166"/>
    <dataField name="Avg_Cost_Variance_Percentage" fld="5" subtotal="average" baseField="0" baseItem="0" numFmtId="9"/>
  </dataFields>
  <formats count="3">
    <format dxfId="4">
      <pivotArea outline="0" collapsedLevelsAreSubtotals="1" fieldPosition="0">
        <references count="1">
          <reference field="4294967294" count="1" selected="0">
            <x v="1"/>
          </reference>
        </references>
      </pivotArea>
    </format>
    <format dxfId="3">
      <pivotArea outline="0" collapsedLevelsAreSubtotals="1" fieldPosition="0">
        <references count="1">
          <reference field="4294967294" count="1" selected="0">
            <x v="2"/>
          </reference>
        </references>
      </pivotArea>
    </format>
    <format dxfId="2">
      <pivotArea outline="0" collapsedLevelsAreSubtotals="1" fieldPosition="0">
        <references count="1">
          <reference field="4294967294" count="1" selected="0">
            <x v="3"/>
          </reference>
        </references>
      </pivotArea>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Unique_Project_Count"/>
    <pivotHierarchy dragToData="1"/>
    <pivotHierarchy dragToData="1"/>
    <pivotHierarchy dragToData="1"/>
    <pivotHierarchy dragToData="1" caption="Budget_ZAR_Sum"/>
    <pivotHierarchy dragToData="1" caption="Actual_Cost_ZAR_Sum"/>
    <pivotHierarchy dragToData="1"/>
    <pivotHierarchy dragToData="1"/>
    <pivotHierarchy dragToData="1" caption="Cost_Variance_Sum"/>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Construction Project Controls ^0 Performance 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239360-90C4-4EB9-B6E0-90F7F13A9F06}"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ject_Expected_Status">
  <location ref="A112:B117" firstHeaderRow="1" firstDataRow="1" firstDataCol="1" rowPageCount="1" colPageCount="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Page" allDrilled="1" subtotalTop="0" showAll="0" dataSourceSort="1" defaultSubtotal="0" defaultAttributeDrillState="1"/>
  </pivotFields>
  <rowFields count="1">
    <field x="0"/>
  </rowFields>
  <rowItems count="5">
    <i>
      <x/>
    </i>
    <i>
      <x v="1"/>
    </i>
    <i>
      <x v="2"/>
    </i>
    <i>
      <x v="3"/>
    </i>
    <i t="grand">
      <x/>
    </i>
  </rowItems>
  <colItems count="1">
    <i/>
  </colItems>
  <pageFields count="1">
    <pageField fld="2" hier="28" name="[Table1].[Latest_Record_Flag].&amp;[Latest]" cap="Latest"/>
  </pageFields>
  <dataFields count="1">
    <dataField name="Project_Count" fld="1" subtotal="count" baseField="0" baseItem="1">
      <extLst>
        <ext xmlns:x15="http://schemas.microsoft.com/office/spreadsheetml/2010/11/main" uri="{FABC7310-3BB5-11E1-824E-6D434824019B}">
          <x15:dataField isCountDistinct="1"/>
        </ext>
      </extLst>
    </dataField>
  </dataField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2" format="11">
      <pivotArea type="data" outline="0" fieldPosition="0">
        <references count="2">
          <reference field="4294967294" count="1" selected="0">
            <x v="0"/>
          </reference>
          <reference field="0" count="1" selected="0">
            <x v="3"/>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Project_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Construction Project Controls ^0 Performance 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CDA854-1CF8-4FBF-8C34-A73309FF3644}" name="PivotTable10"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Project_Type">
  <location ref="A13:D19"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3">
    <i>
      <x/>
    </i>
    <i i="1">
      <x v="1"/>
    </i>
    <i i="2">
      <x v="2"/>
    </i>
  </colItems>
  <dataFields count="3">
    <dataField name="Unique_Project_Count" fld="1" subtotal="count" baseField="0" baseItem="0">
      <extLst>
        <ext xmlns:x15="http://schemas.microsoft.com/office/spreadsheetml/2010/11/main" uri="{FABC7310-3BB5-11E1-824E-6D434824019B}">
          <x15:dataField isCountDistinct="1"/>
        </ext>
      </extLst>
    </dataField>
    <dataField name="Avg_Schedule_Variance" fld="2" subtotal="average" baseField="0" baseItem="0"/>
    <dataField name="Schedule_Variance_Count" fld="3" subtotal="count" baseField="0" baseItem="0"/>
  </dataFields>
  <formats count="1">
    <format dxfId="5">
      <pivotArea collapsedLevelsAreSubtotals="1" fieldPosition="0">
        <references count="2">
          <reference field="4294967294" count="1" selected="0">
            <x v="1"/>
          </reference>
          <reference field="0" count="0"/>
        </references>
      </pivotArea>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Unique_Project_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Construction Project Controls ^0 Performance 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0270A3-9B30-4DC2-BAEA-24954EF16BE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ject_Status_Check">
  <location ref="A123:B128" firstHeaderRow="1" firstDataRow="1" firstDataCol="1" rowPageCount="1" colPageCount="1"/>
  <pivotFields count="3">
    <pivotField axis="axisRow" allDrilled="1" subtotalTop="0" showAll="0" dataSourceSort="1" defaultSubtotal="0" defaultAttributeDrillState="1">
      <items count="4">
        <item x="0"/>
        <item x="1"/>
        <item x="2"/>
        <item x="3"/>
      </items>
    </pivotField>
    <pivotField axis="axisPage" allDrilled="1" subtotalTop="0" showAll="0" dataSourceSort="1" defaultSubtotal="0" defaultAttributeDrillState="1"/>
    <pivotField dataField="1" subtotalTop="0" showAll="0" defaultSubtotal="0"/>
  </pivotFields>
  <rowFields count="1">
    <field x="0"/>
  </rowFields>
  <rowItems count="5">
    <i>
      <x/>
    </i>
    <i>
      <x v="1"/>
    </i>
    <i>
      <x v="2"/>
    </i>
    <i>
      <x v="3"/>
    </i>
    <i t="grand">
      <x/>
    </i>
  </rowItems>
  <colItems count="1">
    <i/>
  </colItems>
  <pageFields count="1">
    <pageField fld="1" hier="28" name="[Table1].[Latest_Record_Flag].&amp;[Latest]" cap="Latest"/>
  </pageFields>
  <dataFields count="1">
    <dataField name="Project_Count" fld="2" subtotal="count" baseField="0"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3"/>
          </reference>
        </references>
      </pivotArea>
    </chartFormat>
    <chartFormat chart="1" format="2">
      <pivotArea type="data" outline="0" fieldPosition="0">
        <references count="2">
          <reference field="4294967294" count="1" selected="0">
            <x v="0"/>
          </reference>
          <reference field="0" count="1" selected="0">
            <x v="2"/>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0"/>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0" count="1" selected="0">
            <x v="0"/>
          </reference>
        </references>
      </pivotArea>
    </chartFormat>
    <chartFormat chart="3" format="12">
      <pivotArea type="data" outline="0" fieldPosition="0">
        <references count="2">
          <reference field="4294967294" count="1" selected="0">
            <x v="0"/>
          </reference>
          <reference field="0" count="1" selected="0">
            <x v="1"/>
          </reference>
        </references>
      </pivotArea>
    </chartFormat>
    <chartFormat chart="3" format="13">
      <pivotArea type="data" outline="0" fieldPosition="0">
        <references count="2">
          <reference field="4294967294" count="1" selected="0">
            <x v="0"/>
          </reference>
          <reference field="0" count="1" selected="0">
            <x v="2"/>
          </reference>
        </references>
      </pivotArea>
    </chartFormat>
    <chartFormat chart="3" format="14">
      <pivotArea type="data" outline="0" fieldPosition="0">
        <references count="2">
          <reference field="4294967294" count="1" selected="0">
            <x v="0"/>
          </reference>
          <reference field="0" count="1" selected="0">
            <x v="3"/>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roject_Count"/>
    <pivotHierarchy dragToData="1" caption="Project_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Construction Project Controls ^0 Performance 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E03567-03EB-4D24-A894-E6FC8450449B}"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in_Contractor">
  <location ref="A61:D68"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3">
    <i>
      <x/>
    </i>
    <i i="1">
      <x v="1"/>
    </i>
    <i i="2">
      <x v="2"/>
    </i>
  </colItems>
  <dataFields count="3">
    <dataField name="Unique_Project_Count" fld="1" subtotal="count" baseField="0" baseItem="1">
      <extLst>
        <ext xmlns:x15="http://schemas.microsoft.com/office/spreadsheetml/2010/11/main" uri="{FABC7310-3BB5-11E1-824E-6D434824019B}">
          <x15:dataField isCountDistinct="1"/>
        </ext>
      </extLst>
    </dataField>
    <dataField name="Avg_Schedule_Variance" fld="2" subtotal="average" baseField="0" baseItem="0" numFmtId="2"/>
    <dataField name="Avg_Cost_Variance" fld="3" subtotal="average" baseField="0" baseItem="0" numFmtId="166"/>
  </dataFields>
  <formats count="2">
    <format dxfId="7">
      <pivotArea outline="0" collapsedLevelsAreSubtotals="1" fieldPosition="0">
        <references count="1">
          <reference field="4294967294" count="1" selected="0">
            <x v="2"/>
          </reference>
        </references>
      </pivotArea>
    </format>
    <format dxfId="6">
      <pivotArea outline="0" collapsedLevelsAreSubtotals="1" fieldPosition="0">
        <references count="1">
          <reference field="4294967294" count="1" selected="0">
            <x v="1"/>
          </reference>
        </references>
      </pivotArea>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Unique_Project_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Construction Project Controls ^0 Performance 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EF6F53D-3AD1-4913-A22C-FEA3741525E2}" name="PivotTable1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st_Data_Flag">
  <location ref="A83:B8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Unique_Project_Count" fld="1" subtotal="count" baseField="0" baseItem="2">
      <extLst>
        <ext xmlns:x15="http://schemas.microsoft.com/office/spreadsheetml/2010/11/main" uri="{FABC7310-3BB5-11E1-824E-6D434824019B}">
          <x15:dataField isCountDistinct="1"/>
        </ext>
      </extLst>
    </dataField>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Unique_Project_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Construction Project Controls ^0 Performance 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C686283-E3D5-4619-899C-FD743B0064BB}" name="PivotTable12"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Project_Type">
  <location ref="A31:F37" firstHeaderRow="0" firstDataRow="1" firstDataCol="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5">
    <i>
      <x/>
    </i>
    <i i="1">
      <x v="1"/>
    </i>
    <i i="2">
      <x v="2"/>
    </i>
    <i i="3">
      <x v="3"/>
    </i>
    <i i="4">
      <x v="4"/>
    </i>
  </colItems>
  <dataFields count="5">
    <dataField name="Unique_Project_Count" fld="1" subtotal="count" baseField="0" baseItem="2">
      <extLst>
        <ext xmlns:x15="http://schemas.microsoft.com/office/spreadsheetml/2010/11/main" uri="{FABC7310-3BB5-11E1-824E-6D434824019B}">
          <x15:dataField isCountDistinct="1"/>
        </ext>
      </extLst>
    </dataField>
    <dataField name="Budget_ZAR_Sum" fld="2" baseField="0" baseItem="4" numFmtId="166"/>
    <dataField name="Actual_Cost_ZAR_Sum" fld="3" baseField="0" baseItem="4" numFmtId="166"/>
    <dataField name="Cost_Variance_Sum" fld="4" baseField="0" baseItem="2" numFmtId="166"/>
    <dataField name="Avg_Cost_Variance_Percentage" fld="5" subtotal="average" baseField="0" baseItem="0" numFmtId="9"/>
  </dataFields>
  <formats count="4">
    <format dxfId="11">
      <pivotArea outline="0" collapsedLevelsAreSubtotals="1" fieldPosition="0">
        <references count="1">
          <reference field="4294967294" count="1" selected="0">
            <x v="1"/>
          </reference>
        </references>
      </pivotArea>
    </format>
    <format dxfId="10">
      <pivotArea outline="0" collapsedLevelsAreSubtotals="1" fieldPosition="0">
        <references count="1">
          <reference field="4294967294" count="1" selected="0">
            <x v="2"/>
          </reference>
        </references>
      </pivotArea>
    </format>
    <format dxfId="9">
      <pivotArea outline="0" collapsedLevelsAreSubtotals="1" fieldPosition="0">
        <references count="1">
          <reference field="4294967294" count="1" selected="0">
            <x v="3"/>
          </reference>
        </references>
      </pivotArea>
    </format>
    <format dxfId="8">
      <pivotArea outline="0" collapsedLevelsAreSubtotals="1" fieldPosition="0">
        <references count="1">
          <reference field="4294967294" count="1" selected="0">
            <x v="4"/>
          </reference>
        </references>
      </pivotArea>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Unique_Project_Count"/>
    <pivotHierarchy dragToData="1"/>
    <pivotHierarchy dragToData="1"/>
    <pivotHierarchy dragToData="1"/>
    <pivotHierarchy dragToData="1" caption="Budget_ZAR_Sum"/>
    <pivotHierarchy dragToData="1" caption="Actual_Cost_ZAR_Sum"/>
    <pivotHierarchy dragToData="1"/>
    <pivotHierarchy dragToData="1"/>
    <pivotHierarchy dragToData="1" caption="Cost_Variance_Sum"/>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Construction Project Controls ^0 Performance 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121E542-7E62-4946-8982-BE608D90BCF0}"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chedule_Status">
  <location ref="A103:B106" firstHeaderRow="1" firstDataRow="1" firstDataCol="1" rowPageCount="1" colPageCount="1"/>
  <pivotFields count="3">
    <pivotField axis="axisRow" allDrilled="1" subtotalTop="0" showAll="0" dataSourceSort="1" defaultSubtotal="0" defaultAttributeDrillState="1">
      <items count="2">
        <item x="0"/>
        <item x="1"/>
      </items>
    </pivotField>
    <pivotField dataField="1" subtotalTop="0" showAll="0" defaultSubtotal="0"/>
    <pivotField axis="axisPage" allDrilled="1" subtotalTop="0" showAll="0" dataSourceSort="1" defaultSubtotal="0" defaultAttributeDrillState="1"/>
  </pivotFields>
  <rowFields count="1">
    <field x="0"/>
  </rowFields>
  <rowItems count="3">
    <i>
      <x/>
    </i>
    <i>
      <x v="1"/>
    </i>
    <i t="grand">
      <x/>
    </i>
  </rowItems>
  <colItems count="1">
    <i/>
  </colItems>
  <pageFields count="1">
    <pageField fld="2" hier="28" name="[Table1].[Latest_Record_Flag].&amp;[Latest]" cap="Latest"/>
  </pageFields>
  <dataFields count="1">
    <dataField name="Project_Count" fld="1" subtotal="count" baseField="0" baseItem="0">
      <extLst>
        <ext xmlns:x15="http://schemas.microsoft.com/office/spreadsheetml/2010/11/main" uri="{FABC7310-3BB5-11E1-824E-6D434824019B}">
          <x15:dataField isCountDistinct="1"/>
        </ext>
      </extLst>
    </dataField>
  </dataField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roject_Count"/>
    <pivotHierarchy dragToData="1" caption="Project_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Construction Project Controls ^0 Performance 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17C3F19-6561-4163-840A-FAB01D170879}" name="PivotTable1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ite_Location">
  <location ref="A72:D79"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3">
    <i>
      <x/>
    </i>
    <i i="1">
      <x v="1"/>
    </i>
    <i i="2">
      <x v="2"/>
    </i>
  </colItems>
  <dataFields count="3">
    <dataField name="Unique_Project_Count" fld="1" subtotal="count" baseField="0" baseItem="3">
      <extLst>
        <ext xmlns:x15="http://schemas.microsoft.com/office/spreadsheetml/2010/11/main" uri="{FABC7310-3BB5-11E1-824E-6D434824019B}">
          <x15:dataField isCountDistinct="1"/>
        </ext>
      </extLst>
    </dataField>
    <dataField name="Avg_Schedule_Variance" fld="2" subtotal="average" baseField="0" baseItem="0" numFmtId="2"/>
    <dataField name="Avg_Cost_Variance" fld="3" subtotal="average" baseField="0" baseItem="0" numFmtId="166"/>
  </dataFields>
  <formats count="2">
    <format dxfId="13">
      <pivotArea outline="0" collapsedLevelsAreSubtotals="1" fieldPosition="0">
        <references count="1">
          <reference field="4294967294" count="1" selected="0">
            <x v="1"/>
          </reference>
        </references>
      </pivotArea>
    </format>
    <format dxfId="12">
      <pivotArea outline="0" collapsedLevelsAreSubtotals="1" fieldPosition="0">
        <references count="1">
          <reference field="4294967294" count="1" selected="0">
            <x v="2"/>
          </reference>
        </references>
      </pivotArea>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Unique_Project_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Construction Project Controls ^0 Performance 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A63896-E75F-483C-9F4E-6624B1633356}" name="Table1" displayName="Table1" ref="A1:AG100" totalsRowShown="0" headerRowDxfId="47">
  <autoFilter ref="A1:AG100" xr:uid="{7CA63896-E75F-483C-9F4E-6624B1633356}"/>
  <tableColumns count="33">
    <tableColumn id="1" xr3:uid="{8256588A-1CD8-425E-B6BC-93F33EFAD1D3}" name="Record_ID" dataDxfId="46"/>
    <tableColumn id="2" xr3:uid="{5DD252C9-D59E-42B6-918F-27BE2AF34ADB}" name="Project_ID" dataDxfId="45"/>
    <tableColumn id="3" xr3:uid="{3C360398-E3E2-40DE-8A40-A9C8CB5CD484}" name="Project_Name" dataDxfId="44"/>
    <tableColumn id="27" xr3:uid="{B4C3A06D-1CAB-44F5-9E00-A29845C64E63}" name="Site_Location" dataDxfId="43"/>
    <tableColumn id="5" xr3:uid="{F3DBEE29-0A0C-4D2D-9B18-21D8C58FD6E1}" name="Project_Type" dataDxfId="42"/>
    <tableColumn id="6" xr3:uid="{ED7FF916-D73C-48D9-918F-DB7B592971D9}" name="Project_Manager" dataDxfId="41"/>
    <tableColumn id="7" xr3:uid="{DC4217BF-FB30-499E-ADF9-12F1C511808D}" name="Main_Contractor" dataDxfId="40"/>
    <tableColumn id="8" xr3:uid="{465FF271-29F4-4214-816B-BC9863ABBE6F}" name="Material_Category" dataDxfId="39"/>
    <tableColumn id="9" xr3:uid="{8E2CA4AB-8660-499E-8C1B-C55A83EA1FFC}" name="Start_Date" dataDxfId="38"/>
    <tableColumn id="10" xr3:uid="{0973FA25-781C-4901-B119-4343DE24D428}" name="Planned_Duration_Days" dataDxfId="37"/>
    <tableColumn id="11" xr3:uid="{2B7A91EF-57DE-4D7F-BC1B-649E7F548E1A}" name="Actual_Duration_Days" dataDxfId="36"/>
    <tableColumn id="12" xr3:uid="{D0388146-D34F-4F0C-9809-C34DDC4BDA31}" name="Budget_ZAR" dataDxfId="35"/>
    <tableColumn id="13" xr3:uid="{0CA29220-CB1E-4504-861A-BAC51E5A533F}" name="Budget_Missing" dataDxfId="34">
      <calculatedColumnFormula>IF(Table1[[#This Row],[Budget_ZAR]]="", "Missing", "Present")</calculatedColumnFormula>
    </tableColumn>
    <tableColumn id="14" xr3:uid="{B0607237-3D50-4B2D-9415-98F10545A779}" name="Actual_Cost_ZAR" dataDxfId="33"/>
    <tableColumn id="15" xr3:uid="{25247AA6-8680-41E5-A106-02BCFC7FDBAE}" name="Actual_Missing" dataDxfId="32">
      <calculatedColumnFormula>IF(Table1[[#This Row],[Actual_Cost_ZAR]]="","Missing","Present")</calculatedColumnFormula>
    </tableColumn>
    <tableColumn id="16" xr3:uid="{6A5A29A8-A251-4203-9CB0-E39D8B5BDC9C}" name="Cost_Data _Flag" dataDxfId="31">
      <calculatedColumnFormula>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calculatedColumnFormula>
    </tableColumn>
    <tableColumn id="17" xr3:uid="{757B0587-9224-4666-ADA4-9D995A3EFCC7}" name="Progress_Percent" dataDxfId="30"/>
    <tableColumn id="18" xr3:uid="{ACD2BDB2-5F4F-4F7B-8D7D-DE52BC930258}" name="Project_Status" dataDxfId="29"/>
    <tableColumn id="19" xr3:uid="{F6C58B5F-364A-4FD7-8175-F2F88C74AF67}" name="Project_Expected_Status" dataDxfId="28">
      <calculatedColumnFormula array="1">IF(Table1[[#This Row],[Progress_Percent]]="unknown","Unknown",_xlfn.IFS(Table1[[#This Row],[Progress_Percent]]&lt;=10,"Planning",Table1[[#This Row],[Progress_Percent]]&lt;100, "In Progress",Table1[[#This Row],[Progress_Percent]]=100,"Completed"))</calculatedColumnFormula>
    </tableColumn>
    <tableColumn id="20" xr3:uid="{828DE034-87A4-455D-9B8D-AE38E04035CA}" name="Project_Status_Check" dataDxfId="27">
      <calculatedColumnFormula>IF(Table1[[#This Row],[Progress_Percent]]="unknown","Unknown",IF(Table1[[#This Row],[Project_Status]]="On Hold","Review",IF(Table1[[#This Row],[Project_Status]]=Table1[[#This Row],[Project_Expected_Status]],"OK","Mismatch")))</calculatedColumnFormula>
    </tableColumn>
    <tableColumn id="21" xr3:uid="{92292C31-B9ED-4EF7-AD82-283C8EA8CD9C}" name="Last_Updated" dataDxfId="26"/>
    <tableColumn id="22" xr3:uid="{D3461E9D-AFF4-4438-9D9C-8FD86459D4E1}" name="Schedule_Variance" dataDxfId="25">
      <calculatedColumnFormula>Table1[[#This Row],[Actual_Duration_Days]]-Table1[[#This Row],[Planned_Duration_Days]]</calculatedColumnFormula>
    </tableColumn>
    <tableColumn id="23" xr3:uid="{1C50E1A9-CBF4-4BB6-B7FD-E63AB8ABB485}" name="Schedule_Status" dataDxfId="24">
      <calculatedColumnFormula array="1">_xlfn.IFS(Table1[[#This Row],[Schedule_Variance]]&gt;0,"Behind Schedule",Table1[[#This Row],[Schedule_Variance]]&lt;0,"Ahead of Schedule",Table1[[#This Row],[Schedule_Variance]]=0,"On Schedule")</calculatedColumnFormula>
    </tableColumn>
    <tableColumn id="24" xr3:uid="{78944ACD-C29C-4BB0-AC99-B8585244250F}" name="Cost_Variance" dataDxfId="23">
      <calculatedColumnFormula>IF(OR(ISBLANK(Table1[[#This Row],[Actual_Cost_ZAR]])),"",Table1[[#This Row],[Actual_Cost_ZAR]]-Table1[[#This Row],[Budget_ZAR]])</calculatedColumnFormula>
    </tableColumn>
    <tableColumn id="25" xr3:uid="{9031FB8E-6C08-4EA0-A96F-933E0217D343}" name="Cost_Variance_Percentage" dataDxfId="22" dataCellStyle="Percent">
      <calculatedColumnFormula>IF(OR(Table1[[#This Row],[Cost_Variance]]="",Table1[[#This Row],[Budget_ZAR]]=""),"",Table1[[#This Row],[Cost_Variance]]/Table1[[#This Row],[Budget_ZAR]])</calculatedColumnFormula>
    </tableColumn>
    <tableColumn id="26" xr3:uid="{DE9070B8-040B-47AB-9487-39A0074D586F}" name="Budget_Status" dataDxfId="21">
      <calculatedColumnFormula>IF(OR(Table1[[#This Row],[Budget_ZAR]]="",Table1[[#This Row],[Actual_Cost_ZAR]]=""),"Missing Data",IF(Table1[[#This Row],[Cost_Variance]]&lt;0,"Under Budget",IF(Table1[[#This Row],[Cost_Variance]]=0,"On Budget","Over Budget")))</calculatedColumnFormula>
    </tableColumn>
    <tableColumn id="28" xr3:uid="{B89D0C52-6546-492F-A145-BB68E74559D6}" name="Cost_Variance_Pivot" dataDxfId="20">
      <calculatedColumnFormula>IF(OR(ISBLANK(Table1[[#This Row],[Actual_Cost_ZAR]]),ISBLANK(Table1[[#This Row],[Budget_ZAR]])),0,Table1[[#This Row],[Actual_Cost_ZAR]]-Table1[[#This Row],[Budget_ZAR]])</calculatedColumnFormula>
    </tableColumn>
    <tableColumn id="29" xr3:uid="{46D4FDB3-1BFE-45E5-BCBA-4EEB00F07E78}" name="Cost_Variance_Percentage_Pivot" dataDxfId="19" dataCellStyle="Percent">
      <calculatedColumnFormula>IF(OR(Table1[[#This Row],[Cost_Variance]]="",Table1[[#This Row],[Budget_ZAR]]=""),0,Table1[[#This Row],[Cost_Variance]]/Table1[[#This Row],[Budget_ZAR]])</calculatedColumnFormula>
    </tableColumn>
    <tableColumn id="4" xr3:uid="{13D0B4EB-5AFB-44E2-8808-8DD1B488D853}" name="Latest_Record_Flag" dataDxfId="18">
      <calculatedColumnFormula>IF(Table1[[#This Row],[Last_Updated]] = "","Missing Date",IF(Table1[[#This Row],[Last_Updated]]=_xlfn.MAXIFS(Table1[Last_Updated],Table1[Project_ID],Table1[[#This Row],[Project_ID]]),"Latest","Older"))</calculatedColumnFormula>
    </tableColumn>
    <tableColumn id="30" xr3:uid="{A5B9D2AE-8D23-4254-B382-F93662C96F42}" name="Valid_Date_Count" dataDxfId="17">
      <calculatedColumnFormula>COUNTIFS(Table1[Project_ID],Table1[[#This Row],[Project_ID]],Table1[Last_Updated],"&gt;0")</calculatedColumnFormula>
    </tableColumn>
    <tableColumn id="31" xr3:uid="{D065E23F-C633-4FE7-AC37-E216E05B90E8}" name="Latest_Count" dataDxfId="16">
      <calculatedColumnFormula>COUNTIFS(Table1[Project_ID],Table1[[#This Row],[Project_ID]],Table1[Latest_Record_Flag],"Latest")</calculatedColumnFormula>
    </tableColumn>
    <tableColumn id="32" xr3:uid="{23ED8AE6-143A-47AD-B556-552947E5CFC2}" name="Record_Review_Flag" dataDxfId="15">
      <calculatedColumnFormula>IF(Table1[[#This Row],[Latest_Count]]&gt;1,"Potential Duplicate -Review","Unique")</calculatedColumnFormula>
    </tableColumn>
    <tableColumn id="33" xr3:uid="{E56FAAE9-C181-43EA-984F-DA96F9B299D8}" name="Latest_Record_Check" dataDxfId="14">
      <calculatedColumnFormula>IF(Table1[[#This Row],[Latest_Record_Flag]]&lt;&gt;"Latest","",IF(Table1[[#This Row],[Latest_Count]]&gt;1,"Review - Tied Latest Date", "OK"))</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1"/>
  <sheetViews>
    <sheetView topLeftCell="G1" zoomScale="95" zoomScaleNormal="95" workbookViewId="0">
      <pane ySplit="1" topLeftCell="A2" activePane="bottomLeft" state="frozen"/>
      <selection pane="bottomLeft" activeCell="G1" sqref="A1:XFD1048576"/>
    </sheetView>
  </sheetViews>
  <sheetFormatPr defaultRowHeight="15" x14ac:dyDescent="0.25"/>
  <cols>
    <col min="1" max="2" width="12.7109375" bestFit="1" customWidth="1"/>
    <col min="3" max="3" width="23.7109375" bestFit="1" customWidth="1"/>
    <col min="4" max="4" width="15.42578125" bestFit="1" customWidth="1"/>
    <col min="5" max="5" width="15.140625" bestFit="1" customWidth="1"/>
    <col min="6" max="6" width="19" bestFit="1" customWidth="1"/>
    <col min="7" max="7" width="19.5703125" bestFit="1" customWidth="1"/>
    <col min="8" max="8" width="20" bestFit="1" customWidth="1"/>
    <col min="9" max="9" width="19" bestFit="1" customWidth="1"/>
    <col min="10" max="10" width="21" bestFit="1" customWidth="1"/>
    <col min="11" max="11" width="21.85546875" bestFit="1" customWidth="1"/>
    <col min="12" max="12" width="14.42578125" bestFit="1" customWidth="1"/>
    <col min="13" max="13" width="18.5703125" bestFit="1" customWidth="1"/>
    <col min="14" max="14" width="19.140625" bestFit="1" customWidth="1"/>
    <col min="15" max="15" width="16.7109375" bestFit="1" customWidth="1"/>
    <col min="16" max="16" width="19" bestFit="1" customWidth="1"/>
  </cols>
  <sheetData>
    <row r="1" spans="1:16"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2" t="s">
        <v>16</v>
      </c>
      <c r="B2" s="2" t="s">
        <v>17</v>
      </c>
      <c r="C2" s="2" t="s">
        <v>18</v>
      </c>
      <c r="D2" s="2" t="s">
        <v>19</v>
      </c>
      <c r="E2" s="2" t="s">
        <v>20</v>
      </c>
      <c r="F2" s="2" t="s">
        <v>21</v>
      </c>
      <c r="G2" s="2" t="s">
        <v>22</v>
      </c>
      <c r="H2" s="2" t="s">
        <v>23</v>
      </c>
      <c r="I2" s="3">
        <v>45670</v>
      </c>
      <c r="J2" s="2">
        <v>90</v>
      </c>
      <c r="K2" s="2">
        <v>90</v>
      </c>
      <c r="L2" s="2">
        <v>1645067.11</v>
      </c>
      <c r="M2" s="2"/>
      <c r="N2" s="2"/>
      <c r="O2" s="2" t="s">
        <v>24</v>
      </c>
      <c r="P2" s="3">
        <v>45825</v>
      </c>
    </row>
    <row r="3" spans="1:16" x14ac:dyDescent="0.25">
      <c r="A3" s="2" t="s">
        <v>25</v>
      </c>
      <c r="B3" s="2" t="s">
        <v>26</v>
      </c>
      <c r="C3" s="2" t="s">
        <v>27</v>
      </c>
      <c r="D3" s="2" t="s">
        <v>28</v>
      </c>
      <c r="E3" s="2" t="s">
        <v>29</v>
      </c>
      <c r="F3" s="2" t="s">
        <v>30</v>
      </c>
      <c r="G3" s="2" t="s">
        <v>31</v>
      </c>
      <c r="H3" s="2" t="s">
        <v>32</v>
      </c>
      <c r="I3" s="3">
        <v>45945</v>
      </c>
      <c r="J3" s="2">
        <v>70</v>
      </c>
      <c r="K3" s="2">
        <v>100</v>
      </c>
      <c r="L3" s="2">
        <v>4311777.74</v>
      </c>
      <c r="M3" s="2">
        <v>4538019.91</v>
      </c>
      <c r="N3" s="2">
        <v>40</v>
      </c>
      <c r="O3" s="2" t="s">
        <v>33</v>
      </c>
      <c r="P3" s="3">
        <v>46001</v>
      </c>
    </row>
    <row r="4" spans="1:16" x14ac:dyDescent="0.25">
      <c r="A4" s="2" t="s">
        <v>34</v>
      </c>
      <c r="B4" s="2" t="s">
        <v>35</v>
      </c>
      <c r="C4" s="2" t="s">
        <v>36</v>
      </c>
      <c r="D4" s="2" t="s">
        <v>37</v>
      </c>
      <c r="E4" s="2" t="s">
        <v>20</v>
      </c>
      <c r="F4" s="2"/>
      <c r="G4" s="2" t="s">
        <v>31</v>
      </c>
      <c r="H4" s="2" t="s">
        <v>38</v>
      </c>
      <c r="I4" s="3">
        <v>45710</v>
      </c>
      <c r="J4" s="2" t="s">
        <v>39</v>
      </c>
      <c r="K4" s="2">
        <v>52</v>
      </c>
      <c r="L4" s="2"/>
      <c r="M4" s="2">
        <v>1028574.72</v>
      </c>
      <c r="N4" s="2">
        <v>55</v>
      </c>
      <c r="O4" s="2" t="s">
        <v>24</v>
      </c>
      <c r="P4" s="3">
        <v>45869</v>
      </c>
    </row>
    <row r="5" spans="1:16" x14ac:dyDescent="0.25">
      <c r="A5" s="2" t="s">
        <v>40</v>
      </c>
      <c r="B5" s="2" t="s">
        <v>41</v>
      </c>
      <c r="C5" s="2" t="s">
        <v>42</v>
      </c>
      <c r="D5" s="2" t="s">
        <v>37</v>
      </c>
      <c r="E5" s="2" t="s">
        <v>43</v>
      </c>
      <c r="F5" s="2" t="s">
        <v>44</v>
      </c>
      <c r="G5" s="2" t="s">
        <v>31</v>
      </c>
      <c r="H5" s="2" t="s">
        <v>32</v>
      </c>
      <c r="I5" s="3">
        <v>45953</v>
      </c>
      <c r="J5" s="2">
        <v>69</v>
      </c>
      <c r="K5" s="2">
        <v>99</v>
      </c>
      <c r="L5" s="2">
        <v>684719.68</v>
      </c>
      <c r="M5" s="2">
        <v>760471.35</v>
      </c>
      <c r="N5" s="2">
        <v>55</v>
      </c>
      <c r="O5" s="2" t="s">
        <v>45</v>
      </c>
      <c r="P5" s="3">
        <v>46048</v>
      </c>
    </row>
    <row r="6" spans="1:16" x14ac:dyDescent="0.25">
      <c r="A6" s="2" t="s">
        <v>46</v>
      </c>
      <c r="B6" s="2" t="s">
        <v>41</v>
      </c>
      <c r="C6" s="2" t="s">
        <v>47</v>
      </c>
      <c r="D6" s="2" t="s">
        <v>37</v>
      </c>
      <c r="E6" s="2" t="s">
        <v>43</v>
      </c>
      <c r="F6" s="2" t="s">
        <v>48</v>
      </c>
      <c r="G6" s="2" t="s">
        <v>22</v>
      </c>
      <c r="H6" s="2" t="s">
        <v>38</v>
      </c>
      <c r="I6" s="3">
        <v>45765</v>
      </c>
      <c r="J6" s="2">
        <v>88</v>
      </c>
      <c r="K6" s="2">
        <v>117</v>
      </c>
      <c r="L6" s="2">
        <v>6104091.1699999999</v>
      </c>
      <c r="M6" s="2">
        <v>6739024.6500000004</v>
      </c>
      <c r="N6" s="2">
        <v>25</v>
      </c>
      <c r="O6" s="2" t="s">
        <v>49</v>
      </c>
      <c r="P6" s="2"/>
    </row>
    <row r="7" spans="1:16" x14ac:dyDescent="0.25">
      <c r="A7" s="2" t="s">
        <v>50</v>
      </c>
      <c r="B7" s="2" t="s">
        <v>51</v>
      </c>
      <c r="C7" s="2" t="s">
        <v>52</v>
      </c>
      <c r="D7" s="2" t="s">
        <v>37</v>
      </c>
      <c r="E7" s="2" t="s">
        <v>29</v>
      </c>
      <c r="F7" s="2" t="s">
        <v>21</v>
      </c>
      <c r="G7" s="2" t="s">
        <v>31</v>
      </c>
      <c r="H7" s="2" t="s">
        <v>32</v>
      </c>
      <c r="I7" s="3">
        <v>45775</v>
      </c>
      <c r="J7" s="2" t="s">
        <v>53</v>
      </c>
      <c r="K7" s="2">
        <v>64</v>
      </c>
      <c r="L7" s="2">
        <v>2221581.5499999998</v>
      </c>
      <c r="M7" s="2">
        <v>2030237.7</v>
      </c>
      <c r="N7" s="2">
        <v>40</v>
      </c>
      <c r="O7" s="2" t="s">
        <v>54</v>
      </c>
      <c r="P7" s="2"/>
    </row>
    <row r="8" spans="1:16" x14ac:dyDescent="0.25">
      <c r="A8" s="2" t="s">
        <v>55</v>
      </c>
      <c r="B8" s="2" t="s">
        <v>56</v>
      </c>
      <c r="C8" s="2" t="s">
        <v>57</v>
      </c>
      <c r="D8" s="2" t="s">
        <v>58</v>
      </c>
      <c r="E8" s="2" t="s">
        <v>29</v>
      </c>
      <c r="F8" s="2" t="s">
        <v>59</v>
      </c>
      <c r="G8" s="2" t="s">
        <v>60</v>
      </c>
      <c r="H8" s="2" t="s">
        <v>61</v>
      </c>
      <c r="I8" s="3">
        <v>45933</v>
      </c>
      <c r="J8" s="2">
        <v>87</v>
      </c>
      <c r="K8" s="2">
        <v>119</v>
      </c>
      <c r="L8" s="2">
        <v>3903662.44</v>
      </c>
      <c r="M8" s="2">
        <v>4797255.4400000004</v>
      </c>
      <c r="N8" s="2">
        <v>85</v>
      </c>
      <c r="O8" s="2" t="s">
        <v>54</v>
      </c>
      <c r="P8" s="3">
        <v>45973</v>
      </c>
    </row>
    <row r="9" spans="1:16" x14ac:dyDescent="0.25">
      <c r="A9" s="2" t="s">
        <v>62</v>
      </c>
      <c r="B9" s="2" t="s">
        <v>63</v>
      </c>
      <c r="C9" s="2" t="s">
        <v>64</v>
      </c>
      <c r="D9" s="2" t="s">
        <v>58</v>
      </c>
      <c r="E9" s="2" t="s">
        <v>43</v>
      </c>
      <c r="F9" s="2" t="s">
        <v>30</v>
      </c>
      <c r="G9" s="2" t="s">
        <v>60</v>
      </c>
      <c r="H9" s="2" t="s">
        <v>65</v>
      </c>
      <c r="I9" s="3">
        <v>45874</v>
      </c>
      <c r="J9" s="2">
        <v>172</v>
      </c>
      <c r="K9" s="2">
        <v>161</v>
      </c>
      <c r="L9" s="2">
        <v>2654795.7000000002</v>
      </c>
      <c r="M9" s="2">
        <v>2861721.66</v>
      </c>
      <c r="N9" s="2">
        <v>100</v>
      </c>
      <c r="O9" s="2" t="s">
        <v>54</v>
      </c>
      <c r="P9" s="3">
        <v>45986</v>
      </c>
    </row>
    <row r="10" spans="1:16" x14ac:dyDescent="0.25">
      <c r="A10" s="2" t="s">
        <v>66</v>
      </c>
      <c r="B10" s="2" t="s">
        <v>63</v>
      </c>
      <c r="C10" s="2" t="s">
        <v>67</v>
      </c>
      <c r="D10" s="2" t="s">
        <v>58</v>
      </c>
      <c r="E10" s="2" t="s">
        <v>68</v>
      </c>
      <c r="F10" s="2" t="s">
        <v>21</v>
      </c>
      <c r="G10" s="2" t="s">
        <v>22</v>
      </c>
      <c r="H10" s="2" t="s">
        <v>65</v>
      </c>
      <c r="I10" s="3">
        <v>45890</v>
      </c>
      <c r="J10" s="2" t="s">
        <v>69</v>
      </c>
      <c r="K10" s="2">
        <v>51</v>
      </c>
      <c r="L10" s="2">
        <v>5724080.8799999999</v>
      </c>
      <c r="M10" s="2">
        <v>5218613.2</v>
      </c>
      <c r="N10" s="2"/>
      <c r="O10" s="2" t="s">
        <v>49</v>
      </c>
      <c r="P10" s="3">
        <v>45932</v>
      </c>
    </row>
    <row r="11" spans="1:16" x14ac:dyDescent="0.25">
      <c r="A11" s="2" t="s">
        <v>70</v>
      </c>
      <c r="B11" s="2" t="s">
        <v>56</v>
      </c>
      <c r="C11" s="2" t="s">
        <v>71</v>
      </c>
      <c r="D11" s="2" t="s">
        <v>28</v>
      </c>
      <c r="E11" s="2" t="s">
        <v>68</v>
      </c>
      <c r="F11" s="2" t="s">
        <v>59</v>
      </c>
      <c r="G11" s="2" t="s">
        <v>60</v>
      </c>
      <c r="H11" s="2" t="s">
        <v>38</v>
      </c>
      <c r="I11" s="3">
        <v>45929</v>
      </c>
      <c r="J11" s="2">
        <v>20</v>
      </c>
      <c r="K11" s="2">
        <v>43</v>
      </c>
      <c r="L11" s="2">
        <v>2275975.36</v>
      </c>
      <c r="M11" s="2">
        <v>1797425.07</v>
      </c>
      <c r="N11" s="2">
        <v>70</v>
      </c>
      <c r="O11" s="2" t="s">
        <v>54</v>
      </c>
      <c r="P11" s="3">
        <v>46054</v>
      </c>
    </row>
    <row r="12" spans="1:16" x14ac:dyDescent="0.25">
      <c r="A12" s="2" t="s">
        <v>72</v>
      </c>
      <c r="B12" s="2" t="s">
        <v>73</v>
      </c>
      <c r="C12" s="2" t="s">
        <v>74</v>
      </c>
      <c r="D12" s="2" t="s">
        <v>58</v>
      </c>
      <c r="E12" s="2" t="s">
        <v>75</v>
      </c>
      <c r="F12" s="2" t="s">
        <v>30</v>
      </c>
      <c r="G12" s="2" t="s">
        <v>76</v>
      </c>
      <c r="H12" s="2" t="s">
        <v>38</v>
      </c>
      <c r="I12" s="3">
        <v>45930</v>
      </c>
      <c r="J12" s="2">
        <v>52</v>
      </c>
      <c r="K12" s="2">
        <v>45</v>
      </c>
      <c r="L12" s="2">
        <v>4373442.6399999997</v>
      </c>
      <c r="M12" s="2">
        <v>5481779.4500000002</v>
      </c>
      <c r="N12" s="2"/>
      <c r="O12" s="2" t="s">
        <v>77</v>
      </c>
      <c r="P12" s="3">
        <v>46097</v>
      </c>
    </row>
    <row r="13" spans="1:16" x14ac:dyDescent="0.25">
      <c r="A13" s="2" t="s">
        <v>78</v>
      </c>
      <c r="B13" s="2" t="s">
        <v>41</v>
      </c>
      <c r="C13" s="2" t="s">
        <v>79</v>
      </c>
      <c r="D13" s="2" t="s">
        <v>19</v>
      </c>
      <c r="E13" s="2" t="s">
        <v>20</v>
      </c>
      <c r="F13" s="2" t="s">
        <v>59</v>
      </c>
      <c r="G13" s="2" t="s">
        <v>22</v>
      </c>
      <c r="H13" s="2" t="s">
        <v>61</v>
      </c>
      <c r="I13" s="3">
        <v>45882</v>
      </c>
      <c r="J13" s="2">
        <v>152</v>
      </c>
      <c r="K13" s="2">
        <v>165</v>
      </c>
      <c r="L13" s="2">
        <v>1006276.22</v>
      </c>
      <c r="M13" s="2">
        <v>897949.25</v>
      </c>
      <c r="N13" s="2">
        <v>70</v>
      </c>
      <c r="O13" s="2" t="s">
        <v>24</v>
      </c>
      <c r="P13" s="3">
        <v>45891</v>
      </c>
    </row>
    <row r="14" spans="1:16" x14ac:dyDescent="0.25">
      <c r="A14" s="2" t="s">
        <v>80</v>
      </c>
      <c r="B14" s="2" t="s">
        <v>35</v>
      </c>
      <c r="C14" s="2" t="s">
        <v>81</v>
      </c>
      <c r="D14" s="2" t="s">
        <v>37</v>
      </c>
      <c r="E14" s="2" t="s">
        <v>29</v>
      </c>
      <c r="F14" s="2" t="s">
        <v>21</v>
      </c>
      <c r="G14" s="2" t="s">
        <v>60</v>
      </c>
      <c r="H14" s="2" t="s">
        <v>61</v>
      </c>
      <c r="I14" s="3">
        <v>45694</v>
      </c>
      <c r="J14" s="2">
        <v>151</v>
      </c>
      <c r="K14" s="2">
        <v>151</v>
      </c>
      <c r="L14" s="2">
        <v>1990482.9</v>
      </c>
      <c r="M14" s="2">
        <v>2035681.29</v>
      </c>
      <c r="N14" s="2"/>
      <c r="O14" s="2" t="s">
        <v>45</v>
      </c>
      <c r="P14" s="3">
        <v>45863</v>
      </c>
    </row>
    <row r="15" spans="1:16" x14ac:dyDescent="0.25">
      <c r="A15" s="2" t="s">
        <v>82</v>
      </c>
      <c r="B15" s="2" t="s">
        <v>83</v>
      </c>
      <c r="C15" s="2" t="s">
        <v>84</v>
      </c>
      <c r="D15" s="2" t="s">
        <v>19</v>
      </c>
      <c r="E15" s="2" t="s">
        <v>85</v>
      </c>
      <c r="F15" s="2" t="s">
        <v>21</v>
      </c>
      <c r="G15" s="2" t="s">
        <v>22</v>
      </c>
      <c r="H15" s="2" t="s">
        <v>23</v>
      </c>
      <c r="I15" s="3">
        <v>45839</v>
      </c>
      <c r="J15" s="2">
        <v>128</v>
      </c>
      <c r="K15" s="2" t="s">
        <v>86</v>
      </c>
      <c r="L15" s="2">
        <v>3168904.18</v>
      </c>
      <c r="M15" s="2">
        <v>3626931.01</v>
      </c>
      <c r="N15" s="2">
        <v>10</v>
      </c>
      <c r="O15" s="2" t="s">
        <v>24</v>
      </c>
      <c r="P15" s="3">
        <v>45954</v>
      </c>
    </row>
    <row r="16" spans="1:16" x14ac:dyDescent="0.25">
      <c r="A16" s="2" t="s">
        <v>87</v>
      </c>
      <c r="B16" s="2" t="s">
        <v>88</v>
      </c>
      <c r="C16" s="2" t="s">
        <v>89</v>
      </c>
      <c r="D16" s="2" t="s">
        <v>58</v>
      </c>
      <c r="E16" s="2" t="s">
        <v>20</v>
      </c>
      <c r="F16" s="2" t="s">
        <v>59</v>
      </c>
      <c r="G16" s="2" t="s">
        <v>90</v>
      </c>
      <c r="H16" s="2" t="s">
        <v>32</v>
      </c>
      <c r="I16" s="3">
        <v>45874</v>
      </c>
      <c r="J16" s="2">
        <v>66</v>
      </c>
      <c r="K16" s="2">
        <v>68</v>
      </c>
      <c r="L16" s="2"/>
      <c r="M16" s="2">
        <v>3823878.04</v>
      </c>
      <c r="N16" s="2">
        <v>10</v>
      </c>
      <c r="O16" s="2" t="s">
        <v>33</v>
      </c>
      <c r="P16" s="3">
        <v>45979</v>
      </c>
    </row>
    <row r="17" spans="1:16" x14ac:dyDescent="0.25">
      <c r="A17" s="2" t="s">
        <v>91</v>
      </c>
      <c r="B17" s="2" t="s">
        <v>92</v>
      </c>
      <c r="C17" s="2" t="s">
        <v>93</v>
      </c>
      <c r="D17" s="2" t="s">
        <v>37</v>
      </c>
      <c r="E17" s="2" t="s">
        <v>94</v>
      </c>
      <c r="F17" s="2" t="s">
        <v>44</v>
      </c>
      <c r="G17" s="2" t="s">
        <v>95</v>
      </c>
      <c r="H17" s="2" t="s">
        <v>38</v>
      </c>
      <c r="I17" s="3">
        <v>45904</v>
      </c>
      <c r="J17" s="2">
        <v>74</v>
      </c>
      <c r="K17" s="2">
        <v>114</v>
      </c>
      <c r="L17" s="2">
        <v>2756501.83</v>
      </c>
      <c r="M17" s="2">
        <v>2230885.7200000002</v>
      </c>
      <c r="N17" s="2">
        <v>85</v>
      </c>
      <c r="O17" s="2" t="s">
        <v>24</v>
      </c>
      <c r="P17" s="3">
        <v>46029</v>
      </c>
    </row>
    <row r="18" spans="1:16" x14ac:dyDescent="0.25">
      <c r="A18" s="2" t="s">
        <v>96</v>
      </c>
      <c r="B18" s="2" t="s">
        <v>88</v>
      </c>
      <c r="C18" s="2" t="s">
        <v>97</v>
      </c>
      <c r="D18" s="2" t="s">
        <v>19</v>
      </c>
      <c r="E18" s="2" t="s">
        <v>68</v>
      </c>
      <c r="F18" s="2" t="s">
        <v>44</v>
      </c>
      <c r="G18" s="2" t="s">
        <v>95</v>
      </c>
      <c r="H18" s="2" t="s">
        <v>23</v>
      </c>
      <c r="I18" s="3">
        <v>45755</v>
      </c>
      <c r="J18" s="2">
        <v>95</v>
      </c>
      <c r="K18" s="2">
        <v>93</v>
      </c>
      <c r="L18" s="2">
        <v>6304433.5300000003</v>
      </c>
      <c r="M18" s="2">
        <v>6743159.9800000004</v>
      </c>
      <c r="N18" s="2"/>
      <c r="O18" s="2" t="s">
        <v>24</v>
      </c>
      <c r="P18" s="3">
        <v>45796</v>
      </c>
    </row>
    <row r="19" spans="1:16" x14ac:dyDescent="0.25">
      <c r="A19" s="2" t="s">
        <v>98</v>
      </c>
      <c r="B19" s="2" t="s">
        <v>51</v>
      </c>
      <c r="C19" s="2" t="s">
        <v>99</v>
      </c>
      <c r="D19" s="2" t="s">
        <v>58</v>
      </c>
      <c r="E19" s="2" t="s">
        <v>68</v>
      </c>
      <c r="F19" s="2" t="s">
        <v>59</v>
      </c>
      <c r="G19" s="2" t="s">
        <v>95</v>
      </c>
      <c r="H19" s="2" t="s">
        <v>61</v>
      </c>
      <c r="I19" s="3">
        <v>45918</v>
      </c>
      <c r="J19" s="2">
        <v>40</v>
      </c>
      <c r="K19" s="2">
        <v>79</v>
      </c>
      <c r="L19" s="2">
        <v>1411406.01</v>
      </c>
      <c r="M19" s="2">
        <v>1520814.75</v>
      </c>
      <c r="N19" s="2">
        <v>40</v>
      </c>
      <c r="O19" s="2" t="s">
        <v>33</v>
      </c>
      <c r="P19" s="3">
        <v>46026</v>
      </c>
    </row>
    <row r="20" spans="1:16" x14ac:dyDescent="0.25">
      <c r="A20" s="2" t="s">
        <v>100</v>
      </c>
      <c r="B20" s="2" t="s">
        <v>101</v>
      </c>
      <c r="C20" s="2" t="s">
        <v>102</v>
      </c>
      <c r="D20" s="2" t="s">
        <v>28</v>
      </c>
      <c r="E20" s="2" t="s">
        <v>103</v>
      </c>
      <c r="F20" s="2" t="s">
        <v>44</v>
      </c>
      <c r="G20" s="2" t="s">
        <v>31</v>
      </c>
      <c r="H20" s="2" t="s">
        <v>61</v>
      </c>
      <c r="I20" s="3">
        <v>45947</v>
      </c>
      <c r="J20" s="2">
        <v>153</v>
      </c>
      <c r="K20" s="2">
        <v>158</v>
      </c>
      <c r="L20" s="2">
        <v>6091914.1100000003</v>
      </c>
      <c r="M20" s="2"/>
      <c r="N20" s="2">
        <v>70</v>
      </c>
      <c r="O20" s="2" t="s">
        <v>104</v>
      </c>
      <c r="P20" s="3">
        <v>45950</v>
      </c>
    </row>
    <row r="21" spans="1:16" x14ac:dyDescent="0.25">
      <c r="A21" s="2" t="s">
        <v>105</v>
      </c>
      <c r="B21" s="2" t="s">
        <v>106</v>
      </c>
      <c r="C21" s="2" t="s">
        <v>107</v>
      </c>
      <c r="D21" s="2" t="s">
        <v>28</v>
      </c>
      <c r="E21" s="2" t="s">
        <v>43</v>
      </c>
      <c r="F21" s="2"/>
      <c r="G21" s="2" t="s">
        <v>22</v>
      </c>
      <c r="H21" s="2" t="s">
        <v>108</v>
      </c>
      <c r="I21" s="3">
        <v>45976</v>
      </c>
      <c r="J21" s="2">
        <v>164</v>
      </c>
      <c r="K21" s="2">
        <v>155</v>
      </c>
      <c r="L21" s="2">
        <v>707879.51</v>
      </c>
      <c r="M21" s="2">
        <v>627589.80000000005</v>
      </c>
      <c r="N21" s="2">
        <v>55</v>
      </c>
      <c r="O21" s="2" t="s">
        <v>49</v>
      </c>
      <c r="P21" s="3">
        <v>46116</v>
      </c>
    </row>
    <row r="22" spans="1:16" x14ac:dyDescent="0.25">
      <c r="A22" s="2" t="s">
        <v>109</v>
      </c>
      <c r="B22" s="2" t="s">
        <v>110</v>
      </c>
      <c r="C22" s="2" t="s">
        <v>111</v>
      </c>
      <c r="D22" s="2" t="s">
        <v>19</v>
      </c>
      <c r="E22" s="2" t="s">
        <v>75</v>
      </c>
      <c r="F22" s="2" t="s">
        <v>21</v>
      </c>
      <c r="G22" s="2" t="s">
        <v>31</v>
      </c>
      <c r="H22" s="2" t="s">
        <v>65</v>
      </c>
      <c r="I22" s="3">
        <v>45971</v>
      </c>
      <c r="J22" s="2">
        <v>155</v>
      </c>
      <c r="K22" s="2">
        <v>140</v>
      </c>
      <c r="L22" s="2">
        <v>4424145.0199999996</v>
      </c>
      <c r="M22" s="2">
        <v>4677653.58</v>
      </c>
      <c r="N22" s="2">
        <v>10</v>
      </c>
      <c r="O22" s="2" t="s">
        <v>49</v>
      </c>
      <c r="P22" s="3">
        <v>46126</v>
      </c>
    </row>
    <row r="23" spans="1:16" x14ac:dyDescent="0.25">
      <c r="A23" s="2" t="s">
        <v>112</v>
      </c>
      <c r="B23" s="2" t="s">
        <v>113</v>
      </c>
      <c r="C23" s="2" t="s">
        <v>64</v>
      </c>
      <c r="D23" s="2" t="s">
        <v>37</v>
      </c>
      <c r="E23" s="2" t="s">
        <v>43</v>
      </c>
      <c r="F23" s="2" t="s">
        <v>59</v>
      </c>
      <c r="G23" s="2" t="s">
        <v>60</v>
      </c>
      <c r="H23" s="2" t="s">
        <v>65</v>
      </c>
      <c r="I23" s="3">
        <v>45833</v>
      </c>
      <c r="J23" s="2">
        <v>72</v>
      </c>
      <c r="K23" s="2">
        <v>100</v>
      </c>
      <c r="L23" s="2">
        <v>4213987.24</v>
      </c>
      <c r="M23" s="2">
        <v>3843122.44</v>
      </c>
      <c r="N23" s="2">
        <v>100</v>
      </c>
      <c r="O23" s="2" t="s">
        <v>54</v>
      </c>
      <c r="P23" s="3">
        <v>45867</v>
      </c>
    </row>
    <row r="24" spans="1:16" x14ac:dyDescent="0.25">
      <c r="A24" s="2" t="s">
        <v>114</v>
      </c>
      <c r="B24" s="2" t="s">
        <v>115</v>
      </c>
      <c r="C24" s="2" t="s">
        <v>116</v>
      </c>
      <c r="D24" s="2" t="s">
        <v>117</v>
      </c>
      <c r="E24" s="2" t="s">
        <v>68</v>
      </c>
      <c r="F24" s="2" t="s">
        <v>48</v>
      </c>
      <c r="G24" s="2" t="s">
        <v>22</v>
      </c>
      <c r="H24" s="2" t="s">
        <v>108</v>
      </c>
      <c r="I24" s="3">
        <v>45740</v>
      </c>
      <c r="J24" s="2">
        <v>133</v>
      </c>
      <c r="K24" s="2">
        <v>153</v>
      </c>
      <c r="L24" s="2">
        <v>4660421.54</v>
      </c>
      <c r="M24" s="2">
        <v>4942160.0199999996</v>
      </c>
      <c r="N24" s="2">
        <v>10</v>
      </c>
      <c r="O24" s="2" t="s">
        <v>24</v>
      </c>
      <c r="P24" s="3">
        <v>45773</v>
      </c>
    </row>
    <row r="25" spans="1:16" x14ac:dyDescent="0.25">
      <c r="A25" s="2" t="s">
        <v>118</v>
      </c>
      <c r="B25" s="2" t="s">
        <v>51</v>
      </c>
      <c r="C25" s="2" t="s">
        <v>79</v>
      </c>
      <c r="D25" s="2" t="s">
        <v>19</v>
      </c>
      <c r="E25" s="2" t="s">
        <v>43</v>
      </c>
      <c r="F25" s="2" t="s">
        <v>48</v>
      </c>
      <c r="G25" s="2" t="s">
        <v>76</v>
      </c>
      <c r="H25" s="2" t="s">
        <v>23</v>
      </c>
      <c r="I25" s="3">
        <v>45815</v>
      </c>
      <c r="J25" s="2">
        <v>113</v>
      </c>
      <c r="K25" s="2">
        <v>155</v>
      </c>
      <c r="L25" s="2">
        <v>6081800.0700000003</v>
      </c>
      <c r="M25" s="2">
        <v>7700155.71</v>
      </c>
      <c r="N25" s="2"/>
      <c r="O25" s="2" t="s">
        <v>54</v>
      </c>
      <c r="P25" s="3">
        <v>45855</v>
      </c>
    </row>
    <row r="26" spans="1:16" x14ac:dyDescent="0.25">
      <c r="A26" s="2" t="s">
        <v>119</v>
      </c>
      <c r="B26" s="2" t="s">
        <v>120</v>
      </c>
      <c r="C26" s="2" t="s">
        <v>121</v>
      </c>
      <c r="D26" s="2" t="s">
        <v>122</v>
      </c>
      <c r="E26" s="2" t="s">
        <v>20</v>
      </c>
      <c r="F26" s="2" t="s">
        <v>44</v>
      </c>
      <c r="G26" s="2" t="s">
        <v>60</v>
      </c>
      <c r="H26" s="2" t="s">
        <v>108</v>
      </c>
      <c r="I26" s="3">
        <v>45741</v>
      </c>
      <c r="J26" s="2">
        <v>65</v>
      </c>
      <c r="K26" s="2">
        <v>106</v>
      </c>
      <c r="L26" s="2">
        <v>2826840.06</v>
      </c>
      <c r="M26" s="2">
        <v>2458447.2000000002</v>
      </c>
      <c r="N26" s="2">
        <v>70</v>
      </c>
      <c r="O26" s="2" t="s">
        <v>33</v>
      </c>
      <c r="P26" s="3">
        <v>45798</v>
      </c>
    </row>
    <row r="27" spans="1:16" x14ac:dyDescent="0.25">
      <c r="A27" s="2" t="s">
        <v>123</v>
      </c>
      <c r="B27" s="2" t="s">
        <v>113</v>
      </c>
      <c r="C27" s="2" t="s">
        <v>124</v>
      </c>
      <c r="D27" s="2" t="s">
        <v>117</v>
      </c>
      <c r="E27" s="2" t="s">
        <v>43</v>
      </c>
      <c r="F27" s="2" t="s">
        <v>59</v>
      </c>
      <c r="G27" s="2" t="s">
        <v>31</v>
      </c>
      <c r="H27" s="2" t="s">
        <v>65</v>
      </c>
      <c r="I27" s="3">
        <v>45893</v>
      </c>
      <c r="J27" s="2">
        <v>109</v>
      </c>
      <c r="K27" s="2">
        <v>113</v>
      </c>
      <c r="L27" s="2">
        <v>5378352.3799999999</v>
      </c>
      <c r="M27" s="2">
        <v>6538256.0199999996</v>
      </c>
      <c r="N27" s="2">
        <v>40</v>
      </c>
      <c r="O27" s="2" t="s">
        <v>24</v>
      </c>
      <c r="P27" s="2"/>
    </row>
    <row r="28" spans="1:16" x14ac:dyDescent="0.25">
      <c r="A28" s="2" t="s">
        <v>125</v>
      </c>
      <c r="B28" s="2" t="s">
        <v>126</v>
      </c>
      <c r="C28" s="2" t="s">
        <v>27</v>
      </c>
      <c r="D28" s="2" t="s">
        <v>19</v>
      </c>
      <c r="E28" s="2" t="s">
        <v>68</v>
      </c>
      <c r="F28" s="2" t="s">
        <v>44</v>
      </c>
      <c r="G28" s="2" t="s">
        <v>31</v>
      </c>
      <c r="H28" s="2" t="s">
        <v>38</v>
      </c>
      <c r="I28" s="3">
        <v>45862</v>
      </c>
      <c r="J28" s="2">
        <v>157</v>
      </c>
      <c r="K28" s="2">
        <v>163</v>
      </c>
      <c r="L28" s="2">
        <v>6120232.1299999999</v>
      </c>
      <c r="M28" s="2">
        <v>5126740.21</v>
      </c>
      <c r="N28" s="2">
        <v>55</v>
      </c>
      <c r="O28" s="2" t="s">
        <v>49</v>
      </c>
      <c r="P28" s="3">
        <v>45943</v>
      </c>
    </row>
    <row r="29" spans="1:16" x14ac:dyDescent="0.25">
      <c r="A29" s="2" t="s">
        <v>127</v>
      </c>
      <c r="B29" s="2" t="s">
        <v>83</v>
      </c>
      <c r="C29" s="2" t="s">
        <v>18</v>
      </c>
      <c r="D29" s="2" t="s">
        <v>58</v>
      </c>
      <c r="E29" s="2" t="s">
        <v>68</v>
      </c>
      <c r="F29" s="2"/>
      <c r="G29" s="2" t="s">
        <v>31</v>
      </c>
      <c r="H29" s="2" t="s">
        <v>108</v>
      </c>
      <c r="I29" s="3">
        <v>45968</v>
      </c>
      <c r="J29" s="2">
        <v>150</v>
      </c>
      <c r="K29" s="2">
        <v>142</v>
      </c>
      <c r="L29" s="2">
        <v>2657471.46</v>
      </c>
      <c r="M29" s="2">
        <v>2838960.87</v>
      </c>
      <c r="N29" s="2">
        <v>55</v>
      </c>
      <c r="O29" s="2" t="s">
        <v>24</v>
      </c>
      <c r="P29" s="3">
        <v>45986</v>
      </c>
    </row>
    <row r="30" spans="1:16" x14ac:dyDescent="0.25">
      <c r="A30" s="2" t="s">
        <v>128</v>
      </c>
      <c r="B30" s="2" t="s">
        <v>35</v>
      </c>
      <c r="C30" s="2" t="s">
        <v>84</v>
      </c>
      <c r="D30" s="2" t="s">
        <v>37</v>
      </c>
      <c r="E30" s="2" t="s">
        <v>43</v>
      </c>
      <c r="F30" s="2" t="s">
        <v>48</v>
      </c>
      <c r="G30" s="2" t="s">
        <v>22</v>
      </c>
      <c r="H30" s="2" t="s">
        <v>32</v>
      </c>
      <c r="I30" s="3">
        <v>45977</v>
      </c>
      <c r="J30" s="2">
        <v>100</v>
      </c>
      <c r="K30" s="2">
        <v>127</v>
      </c>
      <c r="L30" s="2">
        <v>5550095.5</v>
      </c>
      <c r="M30" s="2">
        <v>6326426.9400000004</v>
      </c>
      <c r="N30" s="2">
        <v>55</v>
      </c>
      <c r="O30" s="2" t="s">
        <v>129</v>
      </c>
      <c r="P30" s="3">
        <v>46085</v>
      </c>
    </row>
    <row r="31" spans="1:16" x14ac:dyDescent="0.25">
      <c r="A31" s="2" t="s">
        <v>130</v>
      </c>
      <c r="B31" s="2" t="s">
        <v>131</v>
      </c>
      <c r="C31" s="2" t="s">
        <v>132</v>
      </c>
      <c r="D31" s="2" t="s">
        <v>133</v>
      </c>
      <c r="E31" s="2" t="s">
        <v>68</v>
      </c>
      <c r="F31" s="2" t="s">
        <v>48</v>
      </c>
      <c r="G31" s="2" t="s">
        <v>31</v>
      </c>
      <c r="H31" s="2" t="s">
        <v>108</v>
      </c>
      <c r="I31" s="3">
        <v>45747</v>
      </c>
      <c r="J31" s="2">
        <v>177</v>
      </c>
      <c r="K31" s="2">
        <v>198</v>
      </c>
      <c r="L31" s="2">
        <v>2130936.7200000002</v>
      </c>
      <c r="M31" s="2">
        <v>2245940.41</v>
      </c>
      <c r="N31" s="2">
        <v>0</v>
      </c>
      <c r="O31" s="2" t="s">
        <v>54</v>
      </c>
      <c r="P31" s="3">
        <v>45861</v>
      </c>
    </row>
    <row r="32" spans="1:16" x14ac:dyDescent="0.25">
      <c r="A32" s="2" t="s">
        <v>134</v>
      </c>
      <c r="B32" s="2" t="s">
        <v>106</v>
      </c>
      <c r="C32" s="2" t="s">
        <v>135</v>
      </c>
      <c r="D32" s="2"/>
      <c r="E32" s="2" t="s">
        <v>85</v>
      </c>
      <c r="F32" s="2" t="s">
        <v>30</v>
      </c>
      <c r="G32" s="2"/>
      <c r="H32" s="2" t="s">
        <v>32</v>
      </c>
      <c r="I32" s="3">
        <v>45767</v>
      </c>
      <c r="J32" s="2">
        <v>150</v>
      </c>
      <c r="K32" s="2" t="s">
        <v>136</v>
      </c>
      <c r="L32" s="2">
        <v>5210846.24</v>
      </c>
      <c r="M32" s="2"/>
      <c r="N32" s="2" t="s">
        <v>137</v>
      </c>
      <c r="O32" s="2" t="s">
        <v>24</v>
      </c>
      <c r="P32" s="3">
        <v>45805</v>
      </c>
    </row>
    <row r="33" spans="1:16" x14ac:dyDescent="0.25">
      <c r="A33" s="2" t="s">
        <v>138</v>
      </c>
      <c r="B33" s="2" t="s">
        <v>26</v>
      </c>
      <c r="C33" s="2" t="s">
        <v>124</v>
      </c>
      <c r="D33" s="2" t="s">
        <v>37</v>
      </c>
      <c r="E33" s="2" t="s">
        <v>29</v>
      </c>
      <c r="F33" s="2" t="s">
        <v>21</v>
      </c>
      <c r="G33" s="2" t="s">
        <v>22</v>
      </c>
      <c r="H33" s="2" t="s">
        <v>38</v>
      </c>
      <c r="I33" s="3">
        <v>45681</v>
      </c>
      <c r="J33" s="2">
        <v>82</v>
      </c>
      <c r="K33" s="2">
        <v>97</v>
      </c>
      <c r="L33" s="2">
        <v>4070462.33</v>
      </c>
      <c r="M33" s="2">
        <v>4739014.07</v>
      </c>
      <c r="N33" s="2">
        <v>100</v>
      </c>
      <c r="O33" s="2" t="s">
        <v>33</v>
      </c>
      <c r="P33" s="3">
        <v>45858</v>
      </c>
    </row>
    <row r="34" spans="1:16" x14ac:dyDescent="0.25">
      <c r="A34" s="2" t="s">
        <v>139</v>
      </c>
      <c r="B34" s="2" t="s">
        <v>26</v>
      </c>
      <c r="C34" s="2" t="s">
        <v>140</v>
      </c>
      <c r="D34" s="2" t="s">
        <v>19</v>
      </c>
      <c r="E34" s="2" t="s">
        <v>29</v>
      </c>
      <c r="F34" s="2"/>
      <c r="G34" s="2" t="s">
        <v>76</v>
      </c>
      <c r="H34" s="2" t="s">
        <v>38</v>
      </c>
      <c r="I34" s="3">
        <v>45712</v>
      </c>
      <c r="J34" s="2" t="s">
        <v>141</v>
      </c>
      <c r="K34" s="2">
        <v>127</v>
      </c>
      <c r="L34" s="2">
        <v>1349291.76</v>
      </c>
      <c r="M34" s="2">
        <v>1698735.42</v>
      </c>
      <c r="N34" s="2"/>
      <c r="O34" s="2" t="s">
        <v>33</v>
      </c>
      <c r="P34" s="3">
        <v>45848</v>
      </c>
    </row>
    <row r="35" spans="1:16" x14ac:dyDescent="0.25">
      <c r="A35" s="2" t="s">
        <v>142</v>
      </c>
      <c r="B35" s="2" t="s">
        <v>56</v>
      </c>
      <c r="C35" s="2" t="s">
        <v>143</v>
      </c>
      <c r="D35" s="2" t="s">
        <v>37</v>
      </c>
      <c r="E35" s="2" t="s">
        <v>29</v>
      </c>
      <c r="F35" s="2" t="s">
        <v>30</v>
      </c>
      <c r="G35" s="2" t="s">
        <v>22</v>
      </c>
      <c r="H35" s="2" t="s">
        <v>38</v>
      </c>
      <c r="I35" s="3">
        <v>45962</v>
      </c>
      <c r="J35" s="2">
        <v>101</v>
      </c>
      <c r="K35" s="2">
        <v>146</v>
      </c>
      <c r="L35" s="2">
        <v>4970312.58</v>
      </c>
      <c r="M35" s="2">
        <v>4976707.9400000004</v>
      </c>
      <c r="N35" s="2"/>
      <c r="O35" s="2" t="s">
        <v>33</v>
      </c>
      <c r="P35" s="3">
        <v>46033</v>
      </c>
    </row>
    <row r="36" spans="1:16" x14ac:dyDescent="0.25">
      <c r="A36" s="2" t="s">
        <v>144</v>
      </c>
      <c r="B36" s="2" t="s">
        <v>126</v>
      </c>
      <c r="C36" s="2" t="s">
        <v>135</v>
      </c>
      <c r="D36" s="2" t="s">
        <v>117</v>
      </c>
      <c r="E36" s="2" t="s">
        <v>94</v>
      </c>
      <c r="F36" s="2" t="s">
        <v>59</v>
      </c>
      <c r="G36" s="2" t="s">
        <v>22</v>
      </c>
      <c r="H36" s="2" t="s">
        <v>32</v>
      </c>
      <c r="I36" s="3">
        <v>45906</v>
      </c>
      <c r="J36" s="2">
        <v>180</v>
      </c>
      <c r="K36" s="2">
        <v>180</v>
      </c>
      <c r="L36" s="2">
        <v>1966234.04</v>
      </c>
      <c r="M36" s="2">
        <v>1609837.76</v>
      </c>
      <c r="N36" s="2">
        <v>55</v>
      </c>
      <c r="O36" s="2" t="s">
        <v>49</v>
      </c>
      <c r="P36" s="3">
        <v>45966</v>
      </c>
    </row>
    <row r="37" spans="1:16" x14ac:dyDescent="0.25">
      <c r="A37" s="2" t="s">
        <v>145</v>
      </c>
      <c r="B37" s="2" t="s">
        <v>131</v>
      </c>
      <c r="C37" s="2" t="s">
        <v>140</v>
      </c>
      <c r="D37" s="2" t="s">
        <v>37</v>
      </c>
      <c r="E37" s="2" t="s">
        <v>29</v>
      </c>
      <c r="F37" s="2" t="s">
        <v>48</v>
      </c>
      <c r="G37" s="2" t="s">
        <v>60</v>
      </c>
      <c r="H37" s="2" t="s">
        <v>23</v>
      </c>
      <c r="I37" s="3">
        <v>45736</v>
      </c>
      <c r="J37" s="2">
        <v>74</v>
      </c>
      <c r="K37" s="2">
        <v>63</v>
      </c>
      <c r="L37" s="2">
        <v>2842924.35</v>
      </c>
      <c r="M37" s="2">
        <v>2687816.37</v>
      </c>
      <c r="N37" s="2">
        <v>100</v>
      </c>
      <c r="O37" s="2" t="s">
        <v>33</v>
      </c>
      <c r="P37" s="3">
        <v>45834</v>
      </c>
    </row>
    <row r="38" spans="1:16" x14ac:dyDescent="0.25">
      <c r="A38" s="2" t="s">
        <v>146</v>
      </c>
      <c r="B38" s="2" t="s">
        <v>92</v>
      </c>
      <c r="C38" s="2" t="s">
        <v>81</v>
      </c>
      <c r="D38" s="2"/>
      <c r="E38" s="2" t="s">
        <v>147</v>
      </c>
      <c r="F38" s="2" t="s">
        <v>44</v>
      </c>
      <c r="G38" s="2"/>
      <c r="H38" s="2" t="s">
        <v>108</v>
      </c>
      <c r="I38" s="3">
        <v>45661</v>
      </c>
      <c r="J38" s="2">
        <v>110</v>
      </c>
      <c r="K38" s="2">
        <v>114</v>
      </c>
      <c r="L38" s="2">
        <v>4959219.53</v>
      </c>
      <c r="M38" s="2">
        <v>5984409.1100000003</v>
      </c>
      <c r="N38" s="2">
        <v>85</v>
      </c>
      <c r="O38" s="2" t="s">
        <v>49</v>
      </c>
      <c r="P38" s="3">
        <v>45748</v>
      </c>
    </row>
    <row r="39" spans="1:16" x14ac:dyDescent="0.25">
      <c r="A39" s="2" t="s">
        <v>148</v>
      </c>
      <c r="B39" s="2" t="s">
        <v>131</v>
      </c>
      <c r="C39" s="2" t="s">
        <v>64</v>
      </c>
      <c r="D39" s="2" t="s">
        <v>37</v>
      </c>
      <c r="E39" s="2" t="s">
        <v>85</v>
      </c>
      <c r="F39" s="2" t="s">
        <v>44</v>
      </c>
      <c r="G39" s="2" t="s">
        <v>22</v>
      </c>
      <c r="H39" s="2" t="s">
        <v>61</v>
      </c>
      <c r="I39" s="3">
        <v>45742</v>
      </c>
      <c r="J39" s="2">
        <v>139</v>
      </c>
      <c r="K39" s="2">
        <v>182</v>
      </c>
      <c r="L39" s="2">
        <v>1047673.73</v>
      </c>
      <c r="M39" s="2"/>
      <c r="N39" s="2">
        <v>0</v>
      </c>
      <c r="O39" s="2" t="s">
        <v>33</v>
      </c>
      <c r="P39" s="2"/>
    </row>
    <row r="40" spans="1:16" x14ac:dyDescent="0.25">
      <c r="A40" s="2" t="s">
        <v>149</v>
      </c>
      <c r="B40" s="2" t="s">
        <v>131</v>
      </c>
      <c r="C40" s="2" t="s">
        <v>93</v>
      </c>
      <c r="D40" s="2" t="s">
        <v>19</v>
      </c>
      <c r="E40" s="2" t="s">
        <v>29</v>
      </c>
      <c r="F40" s="2" t="s">
        <v>59</v>
      </c>
      <c r="G40" s="2" t="s">
        <v>90</v>
      </c>
      <c r="H40" s="2" t="s">
        <v>61</v>
      </c>
      <c r="I40" s="3">
        <v>45825</v>
      </c>
      <c r="J40" s="2">
        <v>74</v>
      </c>
      <c r="K40" s="2">
        <v>88</v>
      </c>
      <c r="L40" s="2">
        <v>2292786.2799999998</v>
      </c>
      <c r="M40" s="2">
        <v>2661041.81</v>
      </c>
      <c r="N40" s="2">
        <v>85</v>
      </c>
      <c r="O40" s="2" t="s">
        <v>54</v>
      </c>
      <c r="P40" s="3">
        <v>45915</v>
      </c>
    </row>
    <row r="41" spans="1:16" x14ac:dyDescent="0.25">
      <c r="A41" s="2" t="s">
        <v>150</v>
      </c>
      <c r="B41" s="2" t="s">
        <v>120</v>
      </c>
      <c r="C41" s="2" t="s">
        <v>57</v>
      </c>
      <c r="D41" s="2" t="s">
        <v>133</v>
      </c>
      <c r="E41" s="2" t="s">
        <v>20</v>
      </c>
      <c r="F41" s="2" t="s">
        <v>48</v>
      </c>
      <c r="G41" s="2" t="s">
        <v>22</v>
      </c>
      <c r="H41" s="2" t="s">
        <v>108</v>
      </c>
      <c r="I41" s="3">
        <v>45693</v>
      </c>
      <c r="J41" s="2">
        <v>30</v>
      </c>
      <c r="K41" s="2">
        <v>63</v>
      </c>
      <c r="L41" s="2">
        <v>443937.49</v>
      </c>
      <c r="M41" s="2">
        <v>401160.41</v>
      </c>
      <c r="N41" s="2">
        <v>0</v>
      </c>
      <c r="O41" s="2" t="s">
        <v>49</v>
      </c>
      <c r="P41" s="2"/>
    </row>
    <row r="42" spans="1:16" x14ac:dyDescent="0.25">
      <c r="A42" s="2" t="s">
        <v>151</v>
      </c>
      <c r="B42" s="2" t="s">
        <v>115</v>
      </c>
      <c r="C42" s="2" t="s">
        <v>111</v>
      </c>
      <c r="D42" s="2" t="s">
        <v>58</v>
      </c>
      <c r="E42" s="2" t="s">
        <v>20</v>
      </c>
      <c r="F42" s="2" t="s">
        <v>30</v>
      </c>
      <c r="G42" s="2" t="s">
        <v>95</v>
      </c>
      <c r="H42" s="2" t="s">
        <v>38</v>
      </c>
      <c r="I42" s="3">
        <v>45846</v>
      </c>
      <c r="J42" s="2">
        <v>62</v>
      </c>
      <c r="K42" s="2">
        <v>85</v>
      </c>
      <c r="L42" s="2">
        <v>4045296.84</v>
      </c>
      <c r="M42" s="2">
        <v>4668122.17</v>
      </c>
      <c r="N42" s="2">
        <v>10</v>
      </c>
      <c r="O42" s="2" t="s">
        <v>77</v>
      </c>
      <c r="P42" s="2"/>
    </row>
    <row r="43" spans="1:16" x14ac:dyDescent="0.25">
      <c r="A43" s="2" t="s">
        <v>152</v>
      </c>
      <c r="B43" s="2" t="s">
        <v>131</v>
      </c>
      <c r="C43" s="2" t="s">
        <v>89</v>
      </c>
      <c r="D43" s="2" t="s">
        <v>117</v>
      </c>
      <c r="E43" s="2" t="s">
        <v>68</v>
      </c>
      <c r="F43" s="2" t="s">
        <v>44</v>
      </c>
      <c r="G43" s="2" t="s">
        <v>31</v>
      </c>
      <c r="H43" s="2" t="s">
        <v>61</v>
      </c>
      <c r="I43" s="3">
        <v>45759</v>
      </c>
      <c r="J43" s="2">
        <v>39</v>
      </c>
      <c r="K43" s="2">
        <v>61</v>
      </c>
      <c r="L43" s="2">
        <v>4566340.0999999996</v>
      </c>
      <c r="M43" s="2">
        <v>4993846.33</v>
      </c>
      <c r="N43" s="2">
        <v>10</v>
      </c>
      <c r="O43" s="2" t="s">
        <v>54</v>
      </c>
      <c r="P43" s="3">
        <v>45889</v>
      </c>
    </row>
    <row r="44" spans="1:16" x14ac:dyDescent="0.25">
      <c r="A44" s="2" t="s">
        <v>153</v>
      </c>
      <c r="B44" s="2" t="s">
        <v>35</v>
      </c>
      <c r="C44" s="2" t="s">
        <v>154</v>
      </c>
      <c r="D44" s="2" t="s">
        <v>28</v>
      </c>
      <c r="E44" s="2" t="s">
        <v>68</v>
      </c>
      <c r="F44" s="2" t="s">
        <v>30</v>
      </c>
      <c r="G44" s="2" t="s">
        <v>95</v>
      </c>
      <c r="H44" s="2" t="s">
        <v>23</v>
      </c>
      <c r="I44" s="3">
        <v>45664</v>
      </c>
      <c r="J44" s="2">
        <v>127</v>
      </c>
      <c r="K44" s="2">
        <v>164</v>
      </c>
      <c r="L44" s="2">
        <v>3313760.66</v>
      </c>
      <c r="M44" s="2">
        <v>3303029.71</v>
      </c>
      <c r="N44" s="2">
        <v>70</v>
      </c>
      <c r="O44" s="2" t="s">
        <v>104</v>
      </c>
      <c r="P44" s="3">
        <v>45788</v>
      </c>
    </row>
    <row r="45" spans="1:16" x14ac:dyDescent="0.25">
      <c r="A45" s="2" t="s">
        <v>155</v>
      </c>
      <c r="B45" s="2" t="s">
        <v>106</v>
      </c>
      <c r="C45" s="2" t="s">
        <v>81</v>
      </c>
      <c r="D45" s="2" t="s">
        <v>37</v>
      </c>
      <c r="E45" s="2" t="s">
        <v>68</v>
      </c>
      <c r="F45" s="2" t="s">
        <v>48</v>
      </c>
      <c r="G45" s="2" t="s">
        <v>76</v>
      </c>
      <c r="H45" s="2" t="s">
        <v>65</v>
      </c>
      <c r="I45" s="3">
        <v>45999</v>
      </c>
      <c r="J45" s="2">
        <v>171</v>
      </c>
      <c r="K45" s="2">
        <v>173</v>
      </c>
      <c r="L45" s="2">
        <v>2264403.64</v>
      </c>
      <c r="M45" s="2">
        <v>2044184.92</v>
      </c>
      <c r="N45" s="2">
        <v>10</v>
      </c>
      <c r="O45" s="2" t="s">
        <v>54</v>
      </c>
      <c r="P45" s="3">
        <v>45889</v>
      </c>
    </row>
    <row r="46" spans="1:16" x14ac:dyDescent="0.25">
      <c r="A46" s="2" t="s">
        <v>156</v>
      </c>
      <c r="B46" s="2" t="s">
        <v>92</v>
      </c>
      <c r="C46" s="2" t="s">
        <v>27</v>
      </c>
      <c r="D46" s="2" t="s">
        <v>58</v>
      </c>
      <c r="E46" s="2" t="s">
        <v>85</v>
      </c>
      <c r="F46" s="2" t="s">
        <v>59</v>
      </c>
      <c r="G46" s="2" t="s">
        <v>22</v>
      </c>
      <c r="H46" s="2" t="s">
        <v>38</v>
      </c>
      <c r="I46" s="3">
        <v>45824</v>
      </c>
      <c r="J46" s="2">
        <v>66</v>
      </c>
      <c r="K46" s="2" t="s">
        <v>157</v>
      </c>
      <c r="L46" s="2">
        <v>1575749.06</v>
      </c>
      <c r="M46" s="2">
        <v>1857676.06</v>
      </c>
      <c r="N46" s="2">
        <v>70</v>
      </c>
      <c r="O46" s="2" t="s">
        <v>54</v>
      </c>
      <c r="P46" s="3">
        <v>45929</v>
      </c>
    </row>
    <row r="47" spans="1:16" x14ac:dyDescent="0.25">
      <c r="A47" s="2" t="s">
        <v>158</v>
      </c>
      <c r="B47" s="2" t="s">
        <v>92</v>
      </c>
      <c r="C47" s="2" t="s">
        <v>67</v>
      </c>
      <c r="D47" s="2" t="s">
        <v>28</v>
      </c>
      <c r="E47" s="2" t="s">
        <v>29</v>
      </c>
      <c r="F47" s="2" t="s">
        <v>21</v>
      </c>
      <c r="G47" s="2" t="s">
        <v>31</v>
      </c>
      <c r="H47" s="2" t="s">
        <v>38</v>
      </c>
      <c r="I47" s="3">
        <v>45942</v>
      </c>
      <c r="J47" s="2" t="s">
        <v>159</v>
      </c>
      <c r="K47" s="2">
        <v>110</v>
      </c>
      <c r="L47" s="2">
        <v>3225581.94</v>
      </c>
      <c r="M47" s="2">
        <v>3664006.92</v>
      </c>
      <c r="N47" s="2" t="s">
        <v>160</v>
      </c>
      <c r="O47" s="2" t="s">
        <v>24</v>
      </c>
      <c r="P47" s="3">
        <v>46091</v>
      </c>
    </row>
    <row r="48" spans="1:16" x14ac:dyDescent="0.25">
      <c r="A48" s="2" t="s">
        <v>161</v>
      </c>
      <c r="B48" s="2" t="s">
        <v>41</v>
      </c>
      <c r="C48" s="2" t="s">
        <v>162</v>
      </c>
      <c r="D48" s="2" t="s">
        <v>117</v>
      </c>
      <c r="E48" s="2" t="s">
        <v>43</v>
      </c>
      <c r="F48" s="2" t="s">
        <v>30</v>
      </c>
      <c r="G48" s="2" t="s">
        <v>22</v>
      </c>
      <c r="H48" s="2" t="s">
        <v>61</v>
      </c>
      <c r="I48" s="3">
        <v>45900</v>
      </c>
      <c r="J48" s="2">
        <v>161</v>
      </c>
      <c r="K48" s="2">
        <v>179</v>
      </c>
      <c r="L48" s="2">
        <v>2398483.71</v>
      </c>
      <c r="M48" s="2">
        <v>3066019.46</v>
      </c>
      <c r="N48" s="2"/>
      <c r="O48" s="2" t="s">
        <v>54</v>
      </c>
      <c r="P48" s="3">
        <v>45950</v>
      </c>
    </row>
    <row r="49" spans="1:16" x14ac:dyDescent="0.25">
      <c r="A49" s="2" t="s">
        <v>163</v>
      </c>
      <c r="B49" s="2" t="s">
        <v>35</v>
      </c>
      <c r="C49" s="2" t="s">
        <v>164</v>
      </c>
      <c r="D49" s="2"/>
      <c r="E49" s="2" t="s">
        <v>85</v>
      </c>
      <c r="F49" s="2" t="s">
        <v>30</v>
      </c>
      <c r="G49" s="2" t="s">
        <v>22</v>
      </c>
      <c r="H49" s="2" t="s">
        <v>65</v>
      </c>
      <c r="I49" s="3">
        <v>45719</v>
      </c>
      <c r="J49" s="2" t="s">
        <v>165</v>
      </c>
      <c r="K49" s="2">
        <v>202</v>
      </c>
      <c r="L49" s="2">
        <v>5013685.0599999996</v>
      </c>
      <c r="M49" s="2">
        <v>4374815.8499999996</v>
      </c>
      <c r="N49" s="2">
        <v>40</v>
      </c>
      <c r="O49" s="2" t="s">
        <v>104</v>
      </c>
      <c r="P49" s="3">
        <v>45765</v>
      </c>
    </row>
    <row r="50" spans="1:16" x14ac:dyDescent="0.25">
      <c r="A50" s="2" t="s">
        <v>166</v>
      </c>
      <c r="B50" s="2" t="s">
        <v>110</v>
      </c>
      <c r="C50" s="2" t="s">
        <v>47</v>
      </c>
      <c r="D50" s="2" t="s">
        <v>19</v>
      </c>
      <c r="E50" s="2" t="s">
        <v>20</v>
      </c>
      <c r="F50" s="2" t="s">
        <v>48</v>
      </c>
      <c r="G50" s="2" t="s">
        <v>31</v>
      </c>
      <c r="H50" s="2" t="s">
        <v>108</v>
      </c>
      <c r="I50" s="3">
        <v>45665</v>
      </c>
      <c r="J50" s="2">
        <v>156</v>
      </c>
      <c r="K50" s="2">
        <v>149</v>
      </c>
      <c r="L50" s="2">
        <v>1964445.79</v>
      </c>
      <c r="M50" s="2">
        <v>2489242.5</v>
      </c>
      <c r="N50" s="2"/>
      <c r="O50" s="2" t="s">
        <v>54</v>
      </c>
      <c r="P50" s="3">
        <v>45788</v>
      </c>
    </row>
    <row r="51" spans="1:16" x14ac:dyDescent="0.25">
      <c r="A51" s="2" t="s">
        <v>167</v>
      </c>
      <c r="B51" s="2" t="s">
        <v>106</v>
      </c>
      <c r="C51" s="2" t="s">
        <v>168</v>
      </c>
      <c r="D51" s="2" t="s">
        <v>19</v>
      </c>
      <c r="E51" s="2" t="s">
        <v>68</v>
      </c>
      <c r="F51" s="2" t="s">
        <v>59</v>
      </c>
      <c r="G51" s="2" t="s">
        <v>22</v>
      </c>
      <c r="H51" s="2" t="s">
        <v>32</v>
      </c>
      <c r="I51" s="3">
        <v>45832</v>
      </c>
      <c r="J51" s="2" t="s">
        <v>169</v>
      </c>
      <c r="K51" s="2">
        <v>55</v>
      </c>
      <c r="L51" s="2">
        <v>1827989.94</v>
      </c>
      <c r="M51" s="2">
        <v>2213442.61</v>
      </c>
      <c r="N51" s="2">
        <v>10</v>
      </c>
      <c r="O51" s="2" t="s">
        <v>24</v>
      </c>
      <c r="P51" s="3">
        <v>45977</v>
      </c>
    </row>
    <row r="52" spans="1:16" x14ac:dyDescent="0.25">
      <c r="A52" s="2" t="s">
        <v>170</v>
      </c>
      <c r="B52" s="2" t="s">
        <v>110</v>
      </c>
      <c r="C52" s="2" t="s">
        <v>171</v>
      </c>
      <c r="D52" s="2" t="s">
        <v>117</v>
      </c>
      <c r="E52" s="2" t="s">
        <v>68</v>
      </c>
      <c r="F52" s="2" t="s">
        <v>44</v>
      </c>
      <c r="G52" s="2" t="s">
        <v>31</v>
      </c>
      <c r="H52" s="2" t="s">
        <v>23</v>
      </c>
      <c r="I52" s="3">
        <v>45701</v>
      </c>
      <c r="J52" s="2">
        <v>83</v>
      </c>
      <c r="K52" s="2">
        <v>75</v>
      </c>
      <c r="L52" s="2">
        <v>3737956.47</v>
      </c>
      <c r="M52" s="2">
        <v>3693426.23</v>
      </c>
      <c r="N52" s="2">
        <v>40</v>
      </c>
      <c r="O52" s="2" t="s">
        <v>33</v>
      </c>
      <c r="P52" s="3">
        <v>45860</v>
      </c>
    </row>
    <row r="53" spans="1:16" x14ac:dyDescent="0.25">
      <c r="A53" s="2" t="s">
        <v>172</v>
      </c>
      <c r="B53" s="2" t="s">
        <v>51</v>
      </c>
      <c r="C53" s="2" t="s">
        <v>173</v>
      </c>
      <c r="D53" s="2" t="s">
        <v>28</v>
      </c>
      <c r="E53" s="2" t="s">
        <v>68</v>
      </c>
      <c r="F53" s="2" t="s">
        <v>59</v>
      </c>
      <c r="G53" s="2" t="s">
        <v>22</v>
      </c>
      <c r="H53" s="2" t="s">
        <v>61</v>
      </c>
      <c r="I53" s="3">
        <v>45970</v>
      </c>
      <c r="J53" s="2">
        <v>45</v>
      </c>
      <c r="K53" s="2">
        <v>90</v>
      </c>
      <c r="L53" s="2">
        <v>5017106.9000000004</v>
      </c>
      <c r="M53" s="2">
        <v>5482481.2699999996</v>
      </c>
      <c r="N53" s="2">
        <v>55</v>
      </c>
      <c r="O53" s="2" t="s">
        <v>24</v>
      </c>
      <c r="P53" s="3">
        <v>46075</v>
      </c>
    </row>
    <row r="54" spans="1:16" x14ac:dyDescent="0.25">
      <c r="A54" s="2" t="s">
        <v>174</v>
      </c>
      <c r="B54" s="2" t="s">
        <v>106</v>
      </c>
      <c r="C54" s="2" t="s">
        <v>99</v>
      </c>
      <c r="D54" s="2" t="s">
        <v>117</v>
      </c>
      <c r="E54" s="2" t="s">
        <v>68</v>
      </c>
      <c r="F54" s="2" t="s">
        <v>21</v>
      </c>
      <c r="G54" s="2" t="s">
        <v>76</v>
      </c>
      <c r="H54" s="2" t="s">
        <v>61</v>
      </c>
      <c r="I54" s="3">
        <v>45962</v>
      </c>
      <c r="J54" s="2">
        <v>140</v>
      </c>
      <c r="K54" s="2">
        <v>143</v>
      </c>
      <c r="L54" s="2">
        <v>453999.1</v>
      </c>
      <c r="M54" s="2">
        <v>419518.98</v>
      </c>
      <c r="N54" s="2">
        <v>55</v>
      </c>
      <c r="O54" s="2" t="s">
        <v>33</v>
      </c>
      <c r="P54" s="3">
        <v>46102</v>
      </c>
    </row>
    <row r="55" spans="1:16" x14ac:dyDescent="0.25">
      <c r="A55" s="2" t="s">
        <v>175</v>
      </c>
      <c r="B55" s="2" t="s">
        <v>120</v>
      </c>
      <c r="C55" s="2" t="s">
        <v>36</v>
      </c>
      <c r="D55" s="2" t="s">
        <v>37</v>
      </c>
      <c r="E55" s="2" t="s">
        <v>43</v>
      </c>
      <c r="F55" s="2" t="s">
        <v>44</v>
      </c>
      <c r="G55" s="2" t="s">
        <v>31</v>
      </c>
      <c r="H55" s="2" t="s">
        <v>23</v>
      </c>
      <c r="I55" s="3">
        <v>45734</v>
      </c>
      <c r="J55" s="2">
        <v>88</v>
      </c>
      <c r="K55" s="2">
        <v>125</v>
      </c>
      <c r="L55" s="2">
        <v>1138976.78</v>
      </c>
      <c r="M55" s="2">
        <v>922365.06</v>
      </c>
      <c r="N55" s="2"/>
      <c r="O55" s="2" t="s">
        <v>54</v>
      </c>
      <c r="P55" s="3">
        <v>45873</v>
      </c>
    </row>
    <row r="56" spans="1:16" x14ac:dyDescent="0.25">
      <c r="A56" s="2" t="s">
        <v>176</v>
      </c>
      <c r="B56" s="2" t="s">
        <v>92</v>
      </c>
      <c r="C56" s="2" t="s">
        <v>64</v>
      </c>
      <c r="D56" s="2" t="s">
        <v>28</v>
      </c>
      <c r="E56" s="2" t="s">
        <v>68</v>
      </c>
      <c r="F56" s="2" t="s">
        <v>48</v>
      </c>
      <c r="G56" s="2" t="s">
        <v>90</v>
      </c>
      <c r="H56" s="2" t="s">
        <v>38</v>
      </c>
      <c r="I56" s="3">
        <v>45882</v>
      </c>
      <c r="J56" s="2">
        <v>40</v>
      </c>
      <c r="K56" s="2">
        <v>63</v>
      </c>
      <c r="L56" s="2">
        <v>499129.9</v>
      </c>
      <c r="M56" s="2"/>
      <c r="N56" s="2">
        <v>70</v>
      </c>
      <c r="O56" s="2" t="s">
        <v>54</v>
      </c>
      <c r="P56" s="3">
        <v>45951</v>
      </c>
    </row>
    <row r="57" spans="1:16" x14ac:dyDescent="0.25">
      <c r="A57" s="2" t="s">
        <v>177</v>
      </c>
      <c r="B57" s="2" t="s">
        <v>101</v>
      </c>
      <c r="C57" s="2" t="s">
        <v>168</v>
      </c>
      <c r="D57" s="2" t="s">
        <v>19</v>
      </c>
      <c r="E57" s="2" t="s">
        <v>94</v>
      </c>
      <c r="F57" s="2" t="s">
        <v>30</v>
      </c>
      <c r="G57" s="2" t="s">
        <v>76</v>
      </c>
      <c r="H57" s="2" t="s">
        <v>65</v>
      </c>
      <c r="I57" s="3">
        <v>45678</v>
      </c>
      <c r="J57" s="2">
        <v>64</v>
      </c>
      <c r="K57" s="2">
        <v>79</v>
      </c>
      <c r="L57" s="2">
        <v>3493524.01</v>
      </c>
      <c r="M57" s="2">
        <v>3497418.25</v>
      </c>
      <c r="N57" s="2">
        <v>55</v>
      </c>
      <c r="O57" s="2" t="s">
        <v>49</v>
      </c>
      <c r="P57" s="3">
        <v>45761</v>
      </c>
    </row>
    <row r="58" spans="1:16" x14ac:dyDescent="0.25">
      <c r="A58" s="2" t="s">
        <v>178</v>
      </c>
      <c r="B58" s="2" t="s">
        <v>17</v>
      </c>
      <c r="C58" s="2" t="s">
        <v>36</v>
      </c>
      <c r="D58" s="2" t="s">
        <v>179</v>
      </c>
      <c r="E58" s="2" t="s">
        <v>43</v>
      </c>
      <c r="F58" s="2" t="s">
        <v>30</v>
      </c>
      <c r="G58" s="2" t="s">
        <v>60</v>
      </c>
      <c r="H58" s="2" t="s">
        <v>108</v>
      </c>
      <c r="I58" s="3">
        <v>45740</v>
      </c>
      <c r="J58" s="2">
        <v>104</v>
      </c>
      <c r="K58" s="2">
        <v>115</v>
      </c>
      <c r="L58" s="2">
        <v>4585460.46</v>
      </c>
      <c r="M58" s="2">
        <v>4237464.8099999996</v>
      </c>
      <c r="N58" s="2">
        <v>85</v>
      </c>
      <c r="O58" s="2" t="s">
        <v>24</v>
      </c>
      <c r="P58" s="3">
        <v>45872</v>
      </c>
    </row>
    <row r="59" spans="1:16" x14ac:dyDescent="0.25">
      <c r="A59" s="2" t="s">
        <v>180</v>
      </c>
      <c r="B59" s="2" t="s">
        <v>26</v>
      </c>
      <c r="C59" s="2" t="s">
        <v>140</v>
      </c>
      <c r="D59" s="2" t="s">
        <v>117</v>
      </c>
      <c r="E59" s="2" t="s">
        <v>181</v>
      </c>
      <c r="F59" s="2" t="s">
        <v>21</v>
      </c>
      <c r="G59" s="2" t="s">
        <v>31</v>
      </c>
      <c r="H59" s="2" t="s">
        <v>108</v>
      </c>
      <c r="I59" s="3">
        <v>45935</v>
      </c>
      <c r="J59" s="2">
        <v>138</v>
      </c>
      <c r="K59" s="2">
        <v>149</v>
      </c>
      <c r="L59" s="2">
        <v>588775.53</v>
      </c>
      <c r="M59" s="2">
        <v>611867.13</v>
      </c>
      <c r="N59" s="2">
        <v>100</v>
      </c>
      <c r="O59" s="2" t="s">
        <v>33</v>
      </c>
      <c r="P59" s="3">
        <v>46114</v>
      </c>
    </row>
    <row r="60" spans="1:16" x14ac:dyDescent="0.25">
      <c r="A60" s="2" t="s">
        <v>182</v>
      </c>
      <c r="B60" s="2" t="s">
        <v>92</v>
      </c>
      <c r="C60" s="2" t="s">
        <v>183</v>
      </c>
      <c r="D60" s="2" t="s">
        <v>19</v>
      </c>
      <c r="E60" s="2" t="s">
        <v>85</v>
      </c>
      <c r="F60" s="2" t="s">
        <v>59</v>
      </c>
      <c r="G60" s="2" t="s">
        <v>76</v>
      </c>
      <c r="H60" s="2" t="s">
        <v>61</v>
      </c>
      <c r="I60" s="3">
        <v>45720</v>
      </c>
      <c r="J60" s="2">
        <v>27</v>
      </c>
      <c r="K60" s="2">
        <v>52</v>
      </c>
      <c r="L60" s="2">
        <v>4055447.92</v>
      </c>
      <c r="M60" s="2">
        <v>3648478.58</v>
      </c>
      <c r="N60" s="2">
        <v>25</v>
      </c>
      <c r="O60" s="2" t="s">
        <v>54</v>
      </c>
      <c r="P60" s="3">
        <v>45886</v>
      </c>
    </row>
    <row r="61" spans="1:16" x14ac:dyDescent="0.25">
      <c r="A61" s="2" t="s">
        <v>184</v>
      </c>
      <c r="B61" s="2" t="s">
        <v>88</v>
      </c>
      <c r="C61" s="2" t="s">
        <v>52</v>
      </c>
      <c r="D61" s="2" t="s">
        <v>133</v>
      </c>
      <c r="E61" s="2" t="s">
        <v>85</v>
      </c>
      <c r="F61" s="2" t="s">
        <v>44</v>
      </c>
      <c r="G61" s="2" t="s">
        <v>22</v>
      </c>
      <c r="H61" s="2" t="s">
        <v>23</v>
      </c>
      <c r="I61" s="3">
        <v>45913</v>
      </c>
      <c r="J61" s="2">
        <v>94</v>
      </c>
      <c r="K61" s="2">
        <v>111</v>
      </c>
      <c r="L61" s="2">
        <v>4658822.6900000004</v>
      </c>
      <c r="M61" s="2">
        <v>4601729.62</v>
      </c>
      <c r="N61" s="2">
        <v>100</v>
      </c>
      <c r="O61" s="2" t="s">
        <v>33</v>
      </c>
      <c r="P61" s="3">
        <v>46044</v>
      </c>
    </row>
    <row r="62" spans="1:16" x14ac:dyDescent="0.25">
      <c r="A62" s="2" t="s">
        <v>185</v>
      </c>
      <c r="B62" s="2" t="s">
        <v>88</v>
      </c>
      <c r="C62" s="2" t="s">
        <v>186</v>
      </c>
      <c r="D62" s="2" t="s">
        <v>122</v>
      </c>
      <c r="E62" s="2" t="s">
        <v>68</v>
      </c>
      <c r="F62" s="2" t="s">
        <v>48</v>
      </c>
      <c r="G62" s="2" t="s">
        <v>76</v>
      </c>
      <c r="H62" s="2" t="s">
        <v>32</v>
      </c>
      <c r="I62" s="3">
        <v>45693</v>
      </c>
      <c r="J62" s="2" t="s">
        <v>187</v>
      </c>
      <c r="K62" s="2">
        <v>124</v>
      </c>
      <c r="L62" s="2">
        <v>5187538.6399999997</v>
      </c>
      <c r="M62" s="2">
        <v>5122545.07</v>
      </c>
      <c r="N62" s="2"/>
      <c r="O62" s="2" t="s">
        <v>54</v>
      </c>
      <c r="P62" s="3">
        <v>45808</v>
      </c>
    </row>
    <row r="63" spans="1:16" x14ac:dyDescent="0.25">
      <c r="A63" s="2" t="s">
        <v>188</v>
      </c>
      <c r="B63" s="2" t="s">
        <v>56</v>
      </c>
      <c r="C63" s="2" t="s">
        <v>79</v>
      </c>
      <c r="D63" s="2" t="s">
        <v>58</v>
      </c>
      <c r="E63" s="2" t="s">
        <v>29</v>
      </c>
      <c r="F63" s="2" t="s">
        <v>21</v>
      </c>
      <c r="G63" s="2" t="s">
        <v>76</v>
      </c>
      <c r="H63" s="2" t="s">
        <v>61</v>
      </c>
      <c r="I63" s="3">
        <v>45905</v>
      </c>
      <c r="J63" s="2">
        <v>108</v>
      </c>
      <c r="K63" s="2">
        <v>114</v>
      </c>
      <c r="L63" s="2">
        <v>3699483.86</v>
      </c>
      <c r="M63" s="2">
        <v>3890802.78</v>
      </c>
      <c r="N63" s="2">
        <v>100</v>
      </c>
      <c r="O63" s="2" t="s">
        <v>54</v>
      </c>
      <c r="P63" s="3">
        <v>45987</v>
      </c>
    </row>
    <row r="64" spans="1:16" x14ac:dyDescent="0.25">
      <c r="A64" s="2" t="s">
        <v>189</v>
      </c>
      <c r="B64" s="2" t="s">
        <v>92</v>
      </c>
      <c r="C64" s="2" t="s">
        <v>190</v>
      </c>
      <c r="D64" s="2" t="s">
        <v>58</v>
      </c>
      <c r="E64" s="2" t="s">
        <v>68</v>
      </c>
      <c r="F64" s="2" t="s">
        <v>30</v>
      </c>
      <c r="G64" s="2" t="s">
        <v>60</v>
      </c>
      <c r="H64" s="2" t="s">
        <v>108</v>
      </c>
      <c r="I64" s="3">
        <v>45853</v>
      </c>
      <c r="J64" s="2">
        <v>118</v>
      </c>
      <c r="K64" s="2">
        <v>145</v>
      </c>
      <c r="L64" s="2">
        <v>5202460.38</v>
      </c>
      <c r="M64" s="2">
        <v>5753970.6100000003</v>
      </c>
      <c r="N64" s="2">
        <v>25</v>
      </c>
      <c r="O64" s="2" t="s">
        <v>33</v>
      </c>
      <c r="P64" s="3">
        <v>45879</v>
      </c>
    </row>
    <row r="65" spans="1:16" x14ac:dyDescent="0.25">
      <c r="A65" s="2" t="s">
        <v>191</v>
      </c>
      <c r="B65" s="2" t="s">
        <v>126</v>
      </c>
      <c r="C65" s="2" t="s">
        <v>192</v>
      </c>
      <c r="D65" s="2" t="s">
        <v>117</v>
      </c>
      <c r="E65" s="2" t="s">
        <v>68</v>
      </c>
      <c r="F65" s="2" t="s">
        <v>44</v>
      </c>
      <c r="G65" s="2" t="s">
        <v>60</v>
      </c>
      <c r="H65" s="2" t="s">
        <v>65</v>
      </c>
      <c r="I65" s="3">
        <v>45891</v>
      </c>
      <c r="J65" s="2">
        <v>23</v>
      </c>
      <c r="K65" s="2">
        <v>54</v>
      </c>
      <c r="L65" s="2"/>
      <c r="M65" s="2">
        <v>1398967.1</v>
      </c>
      <c r="N65" s="2">
        <v>25</v>
      </c>
      <c r="O65" s="2" t="s">
        <v>24</v>
      </c>
      <c r="P65" s="3">
        <v>46064</v>
      </c>
    </row>
    <row r="66" spans="1:16" x14ac:dyDescent="0.25">
      <c r="A66" s="2" t="s">
        <v>193</v>
      </c>
      <c r="B66" s="2" t="s">
        <v>56</v>
      </c>
      <c r="C66" s="2" t="s">
        <v>99</v>
      </c>
      <c r="D66" s="2" t="s">
        <v>117</v>
      </c>
      <c r="E66" s="2" t="s">
        <v>85</v>
      </c>
      <c r="F66" s="2" t="s">
        <v>59</v>
      </c>
      <c r="G66" s="2" t="s">
        <v>76</v>
      </c>
      <c r="H66" s="2" t="s">
        <v>61</v>
      </c>
      <c r="I66" s="3">
        <v>45852</v>
      </c>
      <c r="J66" s="2">
        <v>101</v>
      </c>
      <c r="K66" s="2">
        <v>126</v>
      </c>
      <c r="L66" s="2">
        <v>4741983.91</v>
      </c>
      <c r="M66" s="2">
        <v>5499283.0300000003</v>
      </c>
      <c r="N66" s="2"/>
      <c r="O66" s="2" t="s">
        <v>24</v>
      </c>
      <c r="P66" s="3">
        <v>46015</v>
      </c>
    </row>
    <row r="67" spans="1:16" x14ac:dyDescent="0.25">
      <c r="A67" s="2" t="s">
        <v>194</v>
      </c>
      <c r="B67" s="2" t="s">
        <v>17</v>
      </c>
      <c r="C67" s="2" t="s">
        <v>135</v>
      </c>
      <c r="D67" s="2" t="s">
        <v>117</v>
      </c>
      <c r="E67" s="2" t="s">
        <v>147</v>
      </c>
      <c r="F67" s="2" t="s">
        <v>21</v>
      </c>
      <c r="G67" s="2" t="s">
        <v>22</v>
      </c>
      <c r="H67" s="2" t="s">
        <v>23</v>
      </c>
      <c r="I67" s="3">
        <v>45885</v>
      </c>
      <c r="J67" s="2">
        <v>62</v>
      </c>
      <c r="K67" s="2">
        <v>91</v>
      </c>
      <c r="L67" s="2"/>
      <c r="M67" s="2">
        <v>1685605.29</v>
      </c>
      <c r="N67" s="2">
        <v>70</v>
      </c>
      <c r="O67" s="2" t="s">
        <v>24</v>
      </c>
      <c r="P67" s="2"/>
    </row>
    <row r="68" spans="1:16" x14ac:dyDescent="0.25">
      <c r="A68" s="2" t="s">
        <v>195</v>
      </c>
      <c r="B68" s="2" t="s">
        <v>101</v>
      </c>
      <c r="C68" s="2" t="s">
        <v>173</v>
      </c>
      <c r="D68" s="2" t="s">
        <v>37</v>
      </c>
      <c r="E68" s="2" t="s">
        <v>103</v>
      </c>
      <c r="F68" s="2" t="s">
        <v>44</v>
      </c>
      <c r="G68" s="2" t="s">
        <v>31</v>
      </c>
      <c r="H68" s="2" t="s">
        <v>38</v>
      </c>
      <c r="I68" s="3">
        <v>45750</v>
      </c>
      <c r="J68" s="2">
        <v>63</v>
      </c>
      <c r="K68" s="2">
        <v>59</v>
      </c>
      <c r="L68" s="2">
        <v>743552.19</v>
      </c>
      <c r="M68" s="2">
        <v>903728.05</v>
      </c>
      <c r="N68" s="2">
        <v>40</v>
      </c>
      <c r="O68" s="2" t="s">
        <v>33</v>
      </c>
      <c r="P68" s="3">
        <v>45753</v>
      </c>
    </row>
    <row r="69" spans="1:16" x14ac:dyDescent="0.25">
      <c r="A69" s="2" t="s">
        <v>196</v>
      </c>
      <c r="B69" s="2" t="s">
        <v>106</v>
      </c>
      <c r="C69" s="2" t="s">
        <v>197</v>
      </c>
      <c r="D69" s="2" t="s">
        <v>117</v>
      </c>
      <c r="E69" s="2" t="s">
        <v>85</v>
      </c>
      <c r="F69" s="2"/>
      <c r="G69" s="2" t="s">
        <v>76</v>
      </c>
      <c r="H69" s="2" t="s">
        <v>61</v>
      </c>
      <c r="I69" s="3">
        <v>45805</v>
      </c>
      <c r="J69" s="2">
        <v>159</v>
      </c>
      <c r="K69" s="2">
        <v>154</v>
      </c>
      <c r="L69" s="2">
        <v>711636.88</v>
      </c>
      <c r="M69" s="2">
        <v>891409.04</v>
      </c>
      <c r="N69" s="2" t="s">
        <v>137</v>
      </c>
      <c r="O69" s="2" t="s">
        <v>33</v>
      </c>
      <c r="P69" s="3">
        <v>45866</v>
      </c>
    </row>
    <row r="70" spans="1:16" x14ac:dyDescent="0.25">
      <c r="A70" s="2" t="s">
        <v>198</v>
      </c>
      <c r="B70" s="2" t="s">
        <v>131</v>
      </c>
      <c r="C70" s="2" t="s">
        <v>27</v>
      </c>
      <c r="D70" s="2"/>
      <c r="E70" s="2" t="s">
        <v>20</v>
      </c>
      <c r="F70" s="2" t="s">
        <v>48</v>
      </c>
      <c r="G70" s="2" t="s">
        <v>76</v>
      </c>
      <c r="H70" s="2" t="s">
        <v>65</v>
      </c>
      <c r="I70" s="3">
        <v>45950</v>
      </c>
      <c r="J70" s="2">
        <v>111</v>
      </c>
      <c r="K70" s="2">
        <v>132</v>
      </c>
      <c r="L70" s="2"/>
      <c r="M70" s="2">
        <v>2371342.08</v>
      </c>
      <c r="N70" s="2">
        <v>0</v>
      </c>
      <c r="O70" s="2" t="s">
        <v>33</v>
      </c>
      <c r="P70" s="3">
        <v>46009</v>
      </c>
    </row>
    <row r="71" spans="1:16" x14ac:dyDescent="0.25">
      <c r="A71" s="2" t="s">
        <v>199</v>
      </c>
      <c r="B71" s="2" t="s">
        <v>200</v>
      </c>
      <c r="C71" s="2" t="s">
        <v>186</v>
      </c>
      <c r="D71" s="2" t="s">
        <v>37</v>
      </c>
      <c r="E71" s="2" t="s">
        <v>20</v>
      </c>
      <c r="F71" s="2" t="s">
        <v>48</v>
      </c>
      <c r="G71" s="2" t="s">
        <v>31</v>
      </c>
      <c r="H71" s="2" t="s">
        <v>38</v>
      </c>
      <c r="I71" s="3">
        <v>45838</v>
      </c>
      <c r="J71" s="2">
        <v>76</v>
      </c>
      <c r="K71" s="2">
        <v>101</v>
      </c>
      <c r="L71" s="2">
        <v>1438324.93</v>
      </c>
      <c r="M71" s="2">
        <v>1302134.83</v>
      </c>
      <c r="N71" s="2">
        <v>25</v>
      </c>
      <c r="O71" s="2" t="s">
        <v>24</v>
      </c>
      <c r="P71" s="3">
        <v>45872</v>
      </c>
    </row>
    <row r="72" spans="1:16" x14ac:dyDescent="0.25">
      <c r="A72" s="2" t="s">
        <v>201</v>
      </c>
      <c r="B72" s="2" t="s">
        <v>73</v>
      </c>
      <c r="C72" s="2" t="s">
        <v>202</v>
      </c>
      <c r="D72" s="2" t="s">
        <v>117</v>
      </c>
      <c r="E72" s="2" t="s">
        <v>29</v>
      </c>
      <c r="F72" s="2"/>
      <c r="G72" s="2" t="s">
        <v>31</v>
      </c>
      <c r="H72" s="2" t="s">
        <v>61</v>
      </c>
      <c r="I72" s="3">
        <v>45809</v>
      </c>
      <c r="J72" s="2">
        <v>103</v>
      </c>
      <c r="K72" s="2">
        <v>135</v>
      </c>
      <c r="L72" s="2">
        <v>2846894.33</v>
      </c>
      <c r="M72" s="2">
        <v>2506398.36</v>
      </c>
      <c r="N72" s="2"/>
      <c r="O72" s="2" t="s">
        <v>54</v>
      </c>
      <c r="P72" s="3">
        <v>45929</v>
      </c>
    </row>
    <row r="73" spans="1:16" x14ac:dyDescent="0.25">
      <c r="A73" s="2" t="s">
        <v>203</v>
      </c>
      <c r="B73" s="2" t="s">
        <v>73</v>
      </c>
      <c r="C73" s="2" t="s">
        <v>204</v>
      </c>
      <c r="D73" s="2" t="s">
        <v>19</v>
      </c>
      <c r="E73" s="2" t="s">
        <v>43</v>
      </c>
      <c r="F73" s="2" t="s">
        <v>48</v>
      </c>
      <c r="G73" s="2" t="s">
        <v>60</v>
      </c>
      <c r="H73" s="2" t="s">
        <v>108</v>
      </c>
      <c r="I73" s="3">
        <v>45730</v>
      </c>
      <c r="J73" s="2">
        <v>77</v>
      </c>
      <c r="K73" s="2">
        <v>117</v>
      </c>
      <c r="L73" s="2">
        <v>4477023.28</v>
      </c>
      <c r="M73" s="2">
        <v>5001744.3600000003</v>
      </c>
      <c r="N73" s="2">
        <v>85</v>
      </c>
      <c r="O73" s="2" t="s">
        <v>54</v>
      </c>
      <c r="P73" s="3">
        <v>45825</v>
      </c>
    </row>
    <row r="74" spans="1:16" x14ac:dyDescent="0.25">
      <c r="A74" s="2" t="s">
        <v>205</v>
      </c>
      <c r="B74" s="2" t="s">
        <v>115</v>
      </c>
      <c r="C74" s="2" t="s">
        <v>206</v>
      </c>
      <c r="D74" s="2" t="s">
        <v>58</v>
      </c>
      <c r="E74" s="2" t="s">
        <v>85</v>
      </c>
      <c r="F74" s="2" t="s">
        <v>59</v>
      </c>
      <c r="G74" s="2" t="s">
        <v>76</v>
      </c>
      <c r="H74" s="2" t="s">
        <v>38</v>
      </c>
      <c r="I74" s="3">
        <v>45957</v>
      </c>
      <c r="J74" s="2">
        <v>117</v>
      </c>
      <c r="K74" s="2">
        <v>154</v>
      </c>
      <c r="L74" s="2">
        <v>4240932.92</v>
      </c>
      <c r="M74" s="2">
        <v>4095625.07</v>
      </c>
      <c r="N74" s="2">
        <v>40</v>
      </c>
      <c r="O74" s="2" t="s">
        <v>33</v>
      </c>
      <c r="P74" s="3">
        <v>46035</v>
      </c>
    </row>
    <row r="75" spans="1:16" x14ac:dyDescent="0.25">
      <c r="A75" s="2" t="s">
        <v>207</v>
      </c>
      <c r="B75" s="2" t="s">
        <v>83</v>
      </c>
      <c r="C75" s="2" t="s">
        <v>99</v>
      </c>
      <c r="D75" s="2" t="s">
        <v>208</v>
      </c>
      <c r="E75" s="2" t="s">
        <v>85</v>
      </c>
      <c r="F75" s="2" t="s">
        <v>44</v>
      </c>
      <c r="G75" s="2" t="s">
        <v>76</v>
      </c>
      <c r="H75" s="2" t="s">
        <v>65</v>
      </c>
      <c r="I75" s="3">
        <v>45717</v>
      </c>
      <c r="J75" s="2">
        <v>55</v>
      </c>
      <c r="K75" s="2">
        <v>42</v>
      </c>
      <c r="L75" s="2"/>
      <c r="M75" s="2">
        <v>5746097.0999999996</v>
      </c>
      <c r="N75" s="2"/>
      <c r="O75" s="2" t="s">
        <v>24</v>
      </c>
      <c r="P75" s="3">
        <v>45889</v>
      </c>
    </row>
    <row r="76" spans="1:16" x14ac:dyDescent="0.25">
      <c r="A76" s="2" t="s">
        <v>209</v>
      </c>
      <c r="B76" s="2" t="s">
        <v>56</v>
      </c>
      <c r="C76" s="2" t="s">
        <v>93</v>
      </c>
      <c r="D76" s="2" t="s">
        <v>19</v>
      </c>
      <c r="E76" s="2" t="s">
        <v>43</v>
      </c>
      <c r="F76" s="2" t="s">
        <v>21</v>
      </c>
      <c r="G76" s="2" t="s">
        <v>76</v>
      </c>
      <c r="H76" s="2" t="s">
        <v>108</v>
      </c>
      <c r="I76" s="3">
        <v>45872</v>
      </c>
      <c r="J76" s="2">
        <v>170</v>
      </c>
      <c r="K76" s="2" t="s">
        <v>210</v>
      </c>
      <c r="L76" s="2">
        <v>4791244.6900000004</v>
      </c>
      <c r="M76" s="2">
        <v>5858287.9000000004</v>
      </c>
      <c r="N76" s="2">
        <v>10</v>
      </c>
      <c r="O76" s="2" t="s">
        <v>33</v>
      </c>
      <c r="P76" s="3">
        <v>45933</v>
      </c>
    </row>
    <row r="77" spans="1:16" x14ac:dyDescent="0.25">
      <c r="A77" s="2" t="s">
        <v>211</v>
      </c>
      <c r="B77" s="2" t="s">
        <v>41</v>
      </c>
      <c r="C77" s="2" t="s">
        <v>132</v>
      </c>
      <c r="D77" s="2" t="s">
        <v>19</v>
      </c>
      <c r="E77" s="2" t="s">
        <v>29</v>
      </c>
      <c r="F77" s="2" t="s">
        <v>59</v>
      </c>
      <c r="G77" s="2" t="s">
        <v>22</v>
      </c>
      <c r="H77" s="2" t="s">
        <v>38</v>
      </c>
      <c r="I77" s="3">
        <v>45708</v>
      </c>
      <c r="J77" s="2">
        <v>114</v>
      </c>
      <c r="K77" s="2">
        <v>133</v>
      </c>
      <c r="L77" s="2">
        <v>5885601.3300000001</v>
      </c>
      <c r="M77" s="2">
        <v>6488365.7999999998</v>
      </c>
      <c r="N77" s="2">
        <v>0</v>
      </c>
      <c r="O77" s="2" t="s">
        <v>33</v>
      </c>
      <c r="P77" s="3">
        <v>45872</v>
      </c>
    </row>
    <row r="78" spans="1:16" x14ac:dyDescent="0.25">
      <c r="A78" s="2" t="s">
        <v>212</v>
      </c>
      <c r="B78" s="2" t="s">
        <v>200</v>
      </c>
      <c r="C78" s="2" t="s">
        <v>79</v>
      </c>
      <c r="D78" s="2" t="s">
        <v>28</v>
      </c>
      <c r="E78" s="2" t="s">
        <v>43</v>
      </c>
      <c r="F78" s="2" t="s">
        <v>21</v>
      </c>
      <c r="G78" s="2" t="s">
        <v>95</v>
      </c>
      <c r="H78" s="2" t="s">
        <v>61</v>
      </c>
      <c r="I78" s="3">
        <v>45668</v>
      </c>
      <c r="J78" s="2">
        <v>32</v>
      </c>
      <c r="K78" s="2">
        <v>67</v>
      </c>
      <c r="L78" s="2"/>
      <c r="M78" s="2">
        <v>2975024.83</v>
      </c>
      <c r="N78" s="2">
        <v>40</v>
      </c>
      <c r="O78" s="2" t="s">
        <v>24</v>
      </c>
      <c r="P78" s="3">
        <v>45739</v>
      </c>
    </row>
    <row r="79" spans="1:16" x14ac:dyDescent="0.25">
      <c r="A79" s="2" t="s">
        <v>213</v>
      </c>
      <c r="B79" s="2" t="s">
        <v>88</v>
      </c>
      <c r="C79" s="2" t="s">
        <v>206</v>
      </c>
      <c r="D79" s="2" t="s">
        <v>28</v>
      </c>
      <c r="E79" s="2" t="s">
        <v>68</v>
      </c>
      <c r="F79" s="2"/>
      <c r="G79" s="2" t="s">
        <v>60</v>
      </c>
      <c r="H79" s="2" t="s">
        <v>32</v>
      </c>
      <c r="I79" s="3">
        <v>45724</v>
      </c>
      <c r="J79" s="2">
        <v>158</v>
      </c>
      <c r="K79" s="2">
        <v>159</v>
      </c>
      <c r="L79" s="2">
        <v>5240711.4000000004</v>
      </c>
      <c r="M79" s="2">
        <v>4375801.0199999996</v>
      </c>
      <c r="N79" s="2">
        <v>0</v>
      </c>
      <c r="O79" s="2" t="s">
        <v>49</v>
      </c>
      <c r="P79" s="3">
        <v>45792</v>
      </c>
    </row>
    <row r="80" spans="1:16" x14ac:dyDescent="0.25">
      <c r="A80" s="2" t="s">
        <v>214</v>
      </c>
      <c r="B80" s="2" t="s">
        <v>51</v>
      </c>
      <c r="C80" s="2" t="s">
        <v>215</v>
      </c>
      <c r="D80" s="2" t="s">
        <v>58</v>
      </c>
      <c r="E80" s="2" t="s">
        <v>85</v>
      </c>
      <c r="F80" s="2" t="s">
        <v>48</v>
      </c>
      <c r="G80" s="2" t="s">
        <v>60</v>
      </c>
      <c r="H80" s="2" t="s">
        <v>38</v>
      </c>
      <c r="I80" s="3">
        <v>45722</v>
      </c>
      <c r="J80" s="2">
        <v>127</v>
      </c>
      <c r="K80" s="2">
        <v>145</v>
      </c>
      <c r="L80" s="2">
        <v>960308.17</v>
      </c>
      <c r="M80" s="2"/>
      <c r="N80" s="2">
        <v>100</v>
      </c>
      <c r="O80" s="2" t="s">
        <v>54</v>
      </c>
      <c r="P80" s="3">
        <v>45891</v>
      </c>
    </row>
    <row r="81" spans="1:16" x14ac:dyDescent="0.25">
      <c r="A81" s="2" t="s">
        <v>216</v>
      </c>
      <c r="B81" s="2" t="s">
        <v>126</v>
      </c>
      <c r="C81" s="2" t="s">
        <v>217</v>
      </c>
      <c r="D81" s="2" t="s">
        <v>37</v>
      </c>
      <c r="E81" s="2" t="s">
        <v>29</v>
      </c>
      <c r="F81" s="2" t="s">
        <v>59</v>
      </c>
      <c r="G81" s="2" t="s">
        <v>60</v>
      </c>
      <c r="H81" s="2" t="s">
        <v>65</v>
      </c>
      <c r="I81" s="3">
        <v>45812</v>
      </c>
      <c r="J81" s="2">
        <v>137</v>
      </c>
      <c r="K81" s="2">
        <v>163</v>
      </c>
      <c r="L81" s="2">
        <v>6275163.6399999997</v>
      </c>
      <c r="M81" s="2">
        <v>5085472.33</v>
      </c>
      <c r="N81" s="2">
        <v>100</v>
      </c>
      <c r="O81" s="2" t="s">
        <v>33</v>
      </c>
      <c r="P81" s="3">
        <v>45968</v>
      </c>
    </row>
    <row r="82" spans="1:16" x14ac:dyDescent="0.25">
      <c r="A82" s="2" t="s">
        <v>218</v>
      </c>
      <c r="B82" s="2" t="s">
        <v>88</v>
      </c>
      <c r="C82" s="2" t="s">
        <v>197</v>
      </c>
      <c r="D82" s="2" t="s">
        <v>58</v>
      </c>
      <c r="E82" s="2" t="s">
        <v>68</v>
      </c>
      <c r="F82" s="2" t="s">
        <v>44</v>
      </c>
      <c r="G82" s="2" t="s">
        <v>60</v>
      </c>
      <c r="H82" s="2" t="s">
        <v>38</v>
      </c>
      <c r="I82" s="3">
        <v>45691</v>
      </c>
      <c r="J82" s="2">
        <v>52</v>
      </c>
      <c r="K82" s="2" t="s">
        <v>219</v>
      </c>
      <c r="L82" s="2"/>
      <c r="M82" s="2">
        <v>4453760.3</v>
      </c>
      <c r="N82" s="2">
        <v>70</v>
      </c>
      <c r="O82" s="2" t="s">
        <v>33</v>
      </c>
      <c r="P82" s="3">
        <v>45721</v>
      </c>
    </row>
    <row r="83" spans="1:16" x14ac:dyDescent="0.25">
      <c r="A83" s="2" t="s">
        <v>220</v>
      </c>
      <c r="B83" s="2" t="s">
        <v>56</v>
      </c>
      <c r="C83" s="2" t="s">
        <v>217</v>
      </c>
      <c r="D83" s="2" t="s">
        <v>117</v>
      </c>
      <c r="E83" s="2" t="s">
        <v>29</v>
      </c>
      <c r="F83" s="2" t="s">
        <v>30</v>
      </c>
      <c r="G83" s="2" t="s">
        <v>31</v>
      </c>
      <c r="H83" s="2" t="s">
        <v>65</v>
      </c>
      <c r="I83" s="3">
        <v>45768</v>
      </c>
      <c r="J83" s="2" t="s">
        <v>221</v>
      </c>
      <c r="K83" s="2">
        <v>143</v>
      </c>
      <c r="L83" s="2">
        <v>5800568.8899999997</v>
      </c>
      <c r="M83" s="2">
        <v>5724620.7999999998</v>
      </c>
      <c r="N83" s="2">
        <v>100</v>
      </c>
      <c r="O83" s="2" t="s">
        <v>33</v>
      </c>
      <c r="P83" s="3">
        <v>45808</v>
      </c>
    </row>
    <row r="84" spans="1:16" x14ac:dyDescent="0.25">
      <c r="A84" s="2" t="s">
        <v>222</v>
      </c>
      <c r="B84" s="2" t="s">
        <v>92</v>
      </c>
      <c r="C84" s="2" t="s">
        <v>206</v>
      </c>
      <c r="D84" s="2" t="s">
        <v>19</v>
      </c>
      <c r="E84" s="2" t="s">
        <v>29</v>
      </c>
      <c r="F84" s="2" t="s">
        <v>30</v>
      </c>
      <c r="G84" s="2" t="s">
        <v>76</v>
      </c>
      <c r="H84" s="2" t="s">
        <v>38</v>
      </c>
      <c r="I84" s="3">
        <v>45749</v>
      </c>
      <c r="J84" s="2">
        <v>43</v>
      </c>
      <c r="K84" s="2">
        <v>81</v>
      </c>
      <c r="L84" s="2">
        <v>783527.23</v>
      </c>
      <c r="M84" s="2">
        <v>780344.75</v>
      </c>
      <c r="N84" s="2">
        <v>70</v>
      </c>
      <c r="O84" s="2" t="s">
        <v>49</v>
      </c>
      <c r="P84" s="3">
        <v>45706</v>
      </c>
    </row>
    <row r="85" spans="1:16" x14ac:dyDescent="0.25">
      <c r="A85" s="2" t="s">
        <v>223</v>
      </c>
      <c r="B85" s="2" t="s">
        <v>110</v>
      </c>
      <c r="C85" s="2" t="s">
        <v>42</v>
      </c>
      <c r="D85" s="2" t="s">
        <v>117</v>
      </c>
      <c r="E85" s="2" t="s">
        <v>68</v>
      </c>
      <c r="F85" s="2" t="s">
        <v>30</v>
      </c>
      <c r="G85" s="2" t="s">
        <v>60</v>
      </c>
      <c r="H85" s="2" t="s">
        <v>65</v>
      </c>
      <c r="I85" s="3">
        <v>45965</v>
      </c>
      <c r="J85" s="2">
        <v>99</v>
      </c>
      <c r="K85" s="2">
        <v>106</v>
      </c>
      <c r="L85" s="2">
        <v>897503.54</v>
      </c>
      <c r="M85" s="2">
        <v>927755.04</v>
      </c>
      <c r="N85" s="2">
        <v>25</v>
      </c>
      <c r="O85" s="2" t="s">
        <v>224</v>
      </c>
      <c r="P85" s="3">
        <v>46112</v>
      </c>
    </row>
    <row r="86" spans="1:16" x14ac:dyDescent="0.25">
      <c r="A86" s="2" t="s">
        <v>225</v>
      </c>
      <c r="B86" s="2" t="s">
        <v>120</v>
      </c>
      <c r="C86" s="2" t="s">
        <v>27</v>
      </c>
      <c r="D86" s="2" t="s">
        <v>28</v>
      </c>
      <c r="E86" s="2" t="s">
        <v>43</v>
      </c>
      <c r="F86" s="2" t="s">
        <v>30</v>
      </c>
      <c r="G86" s="2" t="s">
        <v>31</v>
      </c>
      <c r="H86" s="2" t="s">
        <v>65</v>
      </c>
      <c r="I86" s="3">
        <v>45877</v>
      </c>
      <c r="J86" s="2">
        <v>163</v>
      </c>
      <c r="K86" s="2" t="s">
        <v>226</v>
      </c>
      <c r="L86" s="2">
        <v>5365167.87</v>
      </c>
      <c r="M86" s="2">
        <v>5830792.7599999998</v>
      </c>
      <c r="N86" s="2"/>
      <c r="O86" s="2" t="s">
        <v>24</v>
      </c>
      <c r="P86" s="3">
        <v>45879</v>
      </c>
    </row>
    <row r="87" spans="1:16" x14ac:dyDescent="0.25">
      <c r="A87" s="2" t="s">
        <v>227</v>
      </c>
      <c r="B87" s="2" t="s">
        <v>63</v>
      </c>
      <c r="C87" s="2" t="s">
        <v>124</v>
      </c>
      <c r="D87" s="2" t="s">
        <v>37</v>
      </c>
      <c r="E87" s="2" t="s">
        <v>29</v>
      </c>
      <c r="F87" s="2" t="s">
        <v>30</v>
      </c>
      <c r="G87" s="2" t="s">
        <v>22</v>
      </c>
      <c r="H87" s="2" t="s">
        <v>65</v>
      </c>
      <c r="I87" s="3">
        <v>45731</v>
      </c>
      <c r="J87" s="2">
        <v>164</v>
      </c>
      <c r="K87" s="2">
        <v>191</v>
      </c>
      <c r="L87" s="2">
        <v>2754902.15</v>
      </c>
      <c r="M87" s="2">
        <v>2344249.0699999998</v>
      </c>
      <c r="N87" s="2"/>
      <c r="O87" s="2" t="s">
        <v>24</v>
      </c>
      <c r="P87" s="3">
        <v>45811</v>
      </c>
    </row>
    <row r="88" spans="1:16" x14ac:dyDescent="0.25">
      <c r="A88" s="2" t="s">
        <v>228</v>
      </c>
      <c r="B88" s="2" t="s">
        <v>35</v>
      </c>
      <c r="C88" s="2" t="s">
        <v>197</v>
      </c>
      <c r="D88" s="2" t="s">
        <v>122</v>
      </c>
      <c r="E88" s="2" t="s">
        <v>29</v>
      </c>
      <c r="F88" s="2" t="s">
        <v>48</v>
      </c>
      <c r="G88" s="2" t="s">
        <v>76</v>
      </c>
      <c r="H88" s="2" t="s">
        <v>108</v>
      </c>
      <c r="I88" s="3">
        <v>45948</v>
      </c>
      <c r="J88" s="2">
        <v>172</v>
      </c>
      <c r="K88" s="2">
        <v>162</v>
      </c>
      <c r="L88" s="2">
        <v>5770888.6500000004</v>
      </c>
      <c r="M88" s="2">
        <v>4950210.3</v>
      </c>
      <c r="N88" s="2">
        <v>0</v>
      </c>
      <c r="O88" s="2" t="s">
        <v>24</v>
      </c>
      <c r="P88" s="3">
        <v>46018</v>
      </c>
    </row>
    <row r="89" spans="1:16" x14ac:dyDescent="0.25">
      <c r="A89" s="2" t="s">
        <v>229</v>
      </c>
      <c r="B89" s="2" t="s">
        <v>113</v>
      </c>
      <c r="C89" s="2" t="s">
        <v>140</v>
      </c>
      <c r="D89" s="2" t="s">
        <v>37</v>
      </c>
      <c r="E89" s="2" t="s">
        <v>68</v>
      </c>
      <c r="F89" s="2" t="s">
        <v>59</v>
      </c>
      <c r="G89" s="2" t="s">
        <v>60</v>
      </c>
      <c r="H89" s="2" t="s">
        <v>32</v>
      </c>
      <c r="I89" s="3">
        <v>45920</v>
      </c>
      <c r="J89" s="2">
        <v>49</v>
      </c>
      <c r="K89" s="2">
        <v>56</v>
      </c>
      <c r="L89" s="2">
        <v>2936960.21</v>
      </c>
      <c r="M89" s="2">
        <v>2706770.77</v>
      </c>
      <c r="N89" s="2">
        <v>100</v>
      </c>
      <c r="O89" s="2" t="s">
        <v>54</v>
      </c>
      <c r="P89" s="3">
        <v>45998</v>
      </c>
    </row>
    <row r="90" spans="1:16" x14ac:dyDescent="0.25">
      <c r="A90" s="2" t="s">
        <v>230</v>
      </c>
      <c r="B90" s="2" t="s">
        <v>113</v>
      </c>
      <c r="C90" s="2" t="s">
        <v>154</v>
      </c>
      <c r="D90" s="2" t="s">
        <v>58</v>
      </c>
      <c r="E90" s="2" t="s">
        <v>85</v>
      </c>
      <c r="F90" s="2" t="s">
        <v>48</v>
      </c>
      <c r="G90" s="2" t="s">
        <v>95</v>
      </c>
      <c r="H90" s="2" t="s">
        <v>38</v>
      </c>
      <c r="I90" s="3">
        <v>45728</v>
      </c>
      <c r="J90" s="2">
        <v>85</v>
      </c>
      <c r="K90" s="2">
        <v>88</v>
      </c>
      <c r="L90" s="2">
        <v>2300764.7200000002</v>
      </c>
      <c r="M90" s="2">
        <v>1803488.83</v>
      </c>
      <c r="N90" s="2">
        <v>85</v>
      </c>
      <c r="O90" s="2" t="s">
        <v>49</v>
      </c>
      <c r="P90" s="3">
        <v>45819</v>
      </c>
    </row>
    <row r="91" spans="1:16" x14ac:dyDescent="0.25">
      <c r="A91" s="2" t="s">
        <v>231</v>
      </c>
      <c r="B91" s="2" t="s">
        <v>73</v>
      </c>
      <c r="C91" s="2" t="s">
        <v>232</v>
      </c>
      <c r="D91" s="2" t="s">
        <v>117</v>
      </c>
      <c r="E91" s="2" t="s">
        <v>20</v>
      </c>
      <c r="F91" s="2" t="s">
        <v>44</v>
      </c>
      <c r="G91" s="2" t="s">
        <v>60</v>
      </c>
      <c r="H91" s="2" t="s">
        <v>65</v>
      </c>
      <c r="I91" s="3">
        <v>45861</v>
      </c>
      <c r="J91" s="2">
        <v>30</v>
      </c>
      <c r="K91" s="2">
        <v>42</v>
      </c>
      <c r="L91" s="2">
        <v>367134.6</v>
      </c>
      <c r="M91" s="2">
        <v>455460.29</v>
      </c>
      <c r="N91" s="2">
        <v>70</v>
      </c>
      <c r="O91" s="2" t="s">
        <v>33</v>
      </c>
      <c r="P91" s="3">
        <v>45905</v>
      </c>
    </row>
    <row r="92" spans="1:16" x14ac:dyDescent="0.25">
      <c r="A92" s="2" t="s">
        <v>233</v>
      </c>
      <c r="B92" s="2" t="s">
        <v>200</v>
      </c>
      <c r="C92" s="2" t="s">
        <v>204</v>
      </c>
      <c r="D92" s="2" t="s">
        <v>117</v>
      </c>
      <c r="E92" s="2" t="s">
        <v>43</v>
      </c>
      <c r="F92" s="2" t="s">
        <v>21</v>
      </c>
      <c r="G92" s="2" t="s">
        <v>31</v>
      </c>
      <c r="H92" s="2" t="s">
        <v>32</v>
      </c>
      <c r="I92" s="3">
        <v>45893</v>
      </c>
      <c r="J92" s="2">
        <v>112</v>
      </c>
      <c r="K92" s="2">
        <v>102</v>
      </c>
      <c r="L92" s="2">
        <v>2979448.62</v>
      </c>
      <c r="M92" s="2">
        <v>2481676.81</v>
      </c>
      <c r="N92" s="2">
        <v>85</v>
      </c>
      <c r="O92" s="2" t="s">
        <v>33</v>
      </c>
      <c r="P92" s="3">
        <v>45913</v>
      </c>
    </row>
    <row r="93" spans="1:16" x14ac:dyDescent="0.25">
      <c r="A93" s="2" t="s">
        <v>234</v>
      </c>
      <c r="B93" s="2" t="s">
        <v>126</v>
      </c>
      <c r="C93" s="2" t="s">
        <v>173</v>
      </c>
      <c r="D93" s="2" t="s">
        <v>19</v>
      </c>
      <c r="E93" s="2" t="s">
        <v>75</v>
      </c>
      <c r="F93" s="2" t="s">
        <v>30</v>
      </c>
      <c r="G93" s="2" t="s">
        <v>22</v>
      </c>
      <c r="H93" s="2" t="s">
        <v>32</v>
      </c>
      <c r="I93" s="3">
        <v>45982</v>
      </c>
      <c r="J93" s="2">
        <v>49</v>
      </c>
      <c r="K93" s="2">
        <v>67</v>
      </c>
      <c r="L93" s="2">
        <v>3437200.39</v>
      </c>
      <c r="M93" s="2"/>
      <c r="N93" s="2">
        <v>70</v>
      </c>
      <c r="O93" s="2" t="s">
        <v>45</v>
      </c>
      <c r="P93" s="3">
        <v>46137</v>
      </c>
    </row>
    <row r="94" spans="1:16" x14ac:dyDescent="0.25">
      <c r="A94" s="2" t="s">
        <v>235</v>
      </c>
      <c r="B94" s="2" t="s">
        <v>88</v>
      </c>
      <c r="C94" s="2" t="s">
        <v>236</v>
      </c>
      <c r="D94" s="2" t="s">
        <v>37</v>
      </c>
      <c r="E94" s="2" t="s">
        <v>20</v>
      </c>
      <c r="F94" s="2" t="s">
        <v>44</v>
      </c>
      <c r="G94" s="2" t="s">
        <v>76</v>
      </c>
      <c r="H94" s="2" t="s">
        <v>38</v>
      </c>
      <c r="I94" s="3">
        <v>45696</v>
      </c>
      <c r="J94" s="2">
        <v>65</v>
      </c>
      <c r="K94" s="2">
        <v>110</v>
      </c>
      <c r="L94" s="2">
        <v>5080300.5599999996</v>
      </c>
      <c r="M94" s="2">
        <v>5217765.9400000004</v>
      </c>
      <c r="N94" s="2">
        <v>100</v>
      </c>
      <c r="O94" s="2" t="s">
        <v>54</v>
      </c>
      <c r="P94" s="3">
        <v>45774</v>
      </c>
    </row>
    <row r="95" spans="1:16" x14ac:dyDescent="0.25">
      <c r="A95" s="2" t="s">
        <v>237</v>
      </c>
      <c r="B95" s="2" t="s">
        <v>115</v>
      </c>
      <c r="C95" s="2" t="s">
        <v>206</v>
      </c>
      <c r="D95" s="2" t="s">
        <v>117</v>
      </c>
      <c r="E95" s="2" t="s">
        <v>20</v>
      </c>
      <c r="F95" s="2"/>
      <c r="G95" s="2" t="s">
        <v>95</v>
      </c>
      <c r="H95" s="2" t="s">
        <v>23</v>
      </c>
      <c r="I95" s="3">
        <v>45960</v>
      </c>
      <c r="J95" s="2">
        <v>34</v>
      </c>
      <c r="K95" s="2" t="s">
        <v>238</v>
      </c>
      <c r="L95" s="2">
        <v>3420855.53</v>
      </c>
      <c r="M95" s="2">
        <v>3199197.52</v>
      </c>
      <c r="N95" s="2">
        <v>100</v>
      </c>
      <c r="O95" s="2" t="s">
        <v>24</v>
      </c>
      <c r="P95" s="3">
        <v>46090</v>
      </c>
    </row>
    <row r="96" spans="1:16" x14ac:dyDescent="0.25">
      <c r="A96" s="2" t="s">
        <v>239</v>
      </c>
      <c r="B96" s="2" t="s">
        <v>131</v>
      </c>
      <c r="C96" s="2" t="s">
        <v>240</v>
      </c>
      <c r="D96" s="2" t="s">
        <v>58</v>
      </c>
      <c r="E96" s="2" t="s">
        <v>29</v>
      </c>
      <c r="F96" s="2" t="s">
        <v>48</v>
      </c>
      <c r="G96" s="2" t="s">
        <v>22</v>
      </c>
      <c r="H96" s="2" t="s">
        <v>61</v>
      </c>
      <c r="I96" s="3">
        <v>45894</v>
      </c>
      <c r="J96" s="2">
        <v>168</v>
      </c>
      <c r="K96" s="2" t="s">
        <v>241</v>
      </c>
      <c r="L96" s="2">
        <v>6213946.7300000004</v>
      </c>
      <c r="M96" s="2">
        <v>7142686.46</v>
      </c>
      <c r="N96" s="2">
        <v>0</v>
      </c>
      <c r="O96" s="2" t="s">
        <v>33</v>
      </c>
      <c r="P96" s="3">
        <v>46010</v>
      </c>
    </row>
    <row r="97" spans="1:16" x14ac:dyDescent="0.25">
      <c r="A97" s="2" t="s">
        <v>242</v>
      </c>
      <c r="B97" s="2" t="s">
        <v>17</v>
      </c>
      <c r="C97" s="2" t="s">
        <v>243</v>
      </c>
      <c r="D97" s="2" t="s">
        <v>117</v>
      </c>
      <c r="E97" s="2" t="s">
        <v>43</v>
      </c>
      <c r="F97" s="2" t="s">
        <v>44</v>
      </c>
      <c r="G97" s="2" t="s">
        <v>76</v>
      </c>
      <c r="H97" s="2" t="s">
        <v>65</v>
      </c>
      <c r="I97" s="3">
        <v>45833</v>
      </c>
      <c r="J97" s="2" t="s">
        <v>238</v>
      </c>
      <c r="K97" s="2">
        <v>58</v>
      </c>
      <c r="L97" s="2">
        <v>4288294.32</v>
      </c>
      <c r="M97" s="2">
        <v>3428796.05</v>
      </c>
      <c r="N97" s="2">
        <v>100</v>
      </c>
      <c r="O97" s="2" t="s">
        <v>33</v>
      </c>
      <c r="P97" s="3">
        <v>46007</v>
      </c>
    </row>
    <row r="98" spans="1:16" x14ac:dyDescent="0.25">
      <c r="A98" s="2" t="s">
        <v>244</v>
      </c>
      <c r="B98" s="2" t="s">
        <v>200</v>
      </c>
      <c r="C98" s="2" t="s">
        <v>202</v>
      </c>
      <c r="D98" s="2" t="s">
        <v>117</v>
      </c>
      <c r="E98" s="2" t="s">
        <v>20</v>
      </c>
      <c r="F98" s="2" t="s">
        <v>48</v>
      </c>
      <c r="G98" s="2" t="s">
        <v>22</v>
      </c>
      <c r="H98" s="2" t="s">
        <v>65</v>
      </c>
      <c r="I98" s="3">
        <v>45684</v>
      </c>
      <c r="J98" s="2">
        <v>105</v>
      </c>
      <c r="K98" s="2">
        <v>94</v>
      </c>
      <c r="L98" s="2">
        <v>2310567.2200000002</v>
      </c>
      <c r="M98" s="2">
        <v>2446848.19</v>
      </c>
      <c r="N98" s="2">
        <v>85</v>
      </c>
      <c r="O98" s="2" t="s">
        <v>54</v>
      </c>
      <c r="P98" s="3">
        <v>45764</v>
      </c>
    </row>
    <row r="99" spans="1:16" x14ac:dyDescent="0.25">
      <c r="A99" s="2" t="s">
        <v>245</v>
      </c>
      <c r="B99" s="2" t="s">
        <v>131</v>
      </c>
      <c r="C99" s="2" t="s">
        <v>246</v>
      </c>
      <c r="D99" s="2" t="s">
        <v>37</v>
      </c>
      <c r="E99" s="2" t="s">
        <v>94</v>
      </c>
      <c r="F99" s="2" t="s">
        <v>30</v>
      </c>
      <c r="G99" s="2" t="s">
        <v>60</v>
      </c>
      <c r="H99" s="2" t="s">
        <v>65</v>
      </c>
      <c r="I99" s="3">
        <v>45724</v>
      </c>
      <c r="J99" s="2">
        <v>172</v>
      </c>
      <c r="K99" s="2">
        <v>202</v>
      </c>
      <c r="L99" s="2">
        <v>6112513.75</v>
      </c>
      <c r="M99" s="2">
        <v>5713922.5</v>
      </c>
      <c r="N99" s="2">
        <v>85</v>
      </c>
      <c r="O99" s="2" t="s">
        <v>54</v>
      </c>
      <c r="P99" s="3">
        <v>45804</v>
      </c>
    </row>
    <row r="100" spans="1:16" x14ac:dyDescent="0.25">
      <c r="A100" s="2" t="s">
        <v>247</v>
      </c>
      <c r="B100" s="2" t="s">
        <v>63</v>
      </c>
      <c r="C100" s="2" t="s">
        <v>67</v>
      </c>
      <c r="D100" s="2" t="s">
        <v>208</v>
      </c>
      <c r="E100" s="2" t="s">
        <v>68</v>
      </c>
      <c r="F100" s="2" t="s">
        <v>48</v>
      </c>
      <c r="G100" s="2" t="s">
        <v>95</v>
      </c>
      <c r="H100" s="2" t="s">
        <v>61</v>
      </c>
      <c r="I100" s="3">
        <v>45767</v>
      </c>
      <c r="J100" s="2">
        <v>107</v>
      </c>
      <c r="K100" s="2" t="s">
        <v>248</v>
      </c>
      <c r="L100" s="2">
        <v>5038476.3</v>
      </c>
      <c r="M100" s="2">
        <v>4413718.42</v>
      </c>
      <c r="N100" s="2">
        <v>25</v>
      </c>
      <c r="O100" s="2" t="s">
        <v>49</v>
      </c>
      <c r="P100" s="3">
        <v>45937</v>
      </c>
    </row>
    <row r="101" spans="1:16" x14ac:dyDescent="0.25">
      <c r="A101" s="2" t="s">
        <v>249</v>
      </c>
      <c r="B101" s="2" t="s">
        <v>26</v>
      </c>
      <c r="C101" s="2" t="s">
        <v>140</v>
      </c>
      <c r="D101" s="2" t="s">
        <v>117</v>
      </c>
      <c r="E101" s="2" t="s">
        <v>181</v>
      </c>
      <c r="F101" s="2" t="s">
        <v>21</v>
      </c>
      <c r="G101" s="2" t="s">
        <v>31</v>
      </c>
      <c r="H101" s="2" t="s">
        <v>108</v>
      </c>
      <c r="I101" s="3">
        <v>45935</v>
      </c>
      <c r="J101" s="2">
        <v>138</v>
      </c>
      <c r="K101" s="2">
        <v>149</v>
      </c>
      <c r="L101" s="2">
        <v>588775.53</v>
      </c>
      <c r="M101" s="2">
        <v>611867.13</v>
      </c>
      <c r="N101" s="2">
        <v>100</v>
      </c>
      <c r="O101" s="2" t="s">
        <v>33</v>
      </c>
      <c r="P101" s="3">
        <v>46114</v>
      </c>
    </row>
  </sheetData>
  <autoFilter ref="A1:P1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0FDA2-8EC0-4933-8DE2-1656771E3D0A}">
  <dimension ref="A1:AG106"/>
  <sheetViews>
    <sheetView topLeftCell="S1" zoomScale="95" zoomScaleNormal="95" workbookViewId="0">
      <pane ySplit="1" topLeftCell="A81" activePane="bottomLeft" state="frozen"/>
      <selection activeCell="J1" sqref="J1"/>
      <selection pane="bottomLeft" activeCell="T84" sqref="T84"/>
    </sheetView>
  </sheetViews>
  <sheetFormatPr defaultRowHeight="15" x14ac:dyDescent="0.25"/>
  <cols>
    <col min="1" max="1" width="11.28515625" bestFit="1" customWidth="1"/>
    <col min="2" max="2" width="12.7109375" bestFit="1" customWidth="1"/>
    <col min="3" max="3" width="23.7109375" bestFit="1" customWidth="1"/>
    <col min="4" max="4" width="15.42578125" bestFit="1" customWidth="1"/>
    <col min="5" max="5" width="15.140625" bestFit="1" customWidth="1"/>
    <col min="6" max="6" width="19" bestFit="1" customWidth="1"/>
    <col min="7" max="7" width="19.5703125" bestFit="1" customWidth="1"/>
    <col min="8" max="8" width="20" bestFit="1" customWidth="1"/>
    <col min="9" max="9" width="13.140625" style="6" bestFit="1" customWidth="1"/>
    <col min="10" max="10" width="23.42578125" bestFit="1" customWidth="1"/>
    <col min="11" max="11" width="23" bestFit="1" customWidth="1"/>
    <col min="12" max="12" width="14.42578125" style="15" bestFit="1" customWidth="1"/>
    <col min="13" max="13" width="17.85546875" style="15" bestFit="1" customWidth="1"/>
    <col min="14" max="14" width="18.5703125" style="15" bestFit="1" customWidth="1"/>
    <col min="15" max="15" width="14.5703125" style="15" bestFit="1" customWidth="1"/>
    <col min="16" max="16" width="18.28515625" style="15" bestFit="1" customWidth="1"/>
    <col min="17" max="17" width="19.140625" bestFit="1" customWidth="1"/>
    <col min="18" max="18" width="16.7109375" bestFit="1" customWidth="1"/>
    <col min="19" max="19" width="25.28515625" bestFit="1" customWidth="1"/>
    <col min="20" max="20" width="22.140625" customWidth="1"/>
    <col min="21" max="21" width="16" style="6" bestFit="1" customWidth="1"/>
    <col min="22" max="22" width="19.42578125" customWidth="1"/>
    <col min="23" max="23" width="18.42578125" customWidth="1"/>
    <col min="24" max="24" width="16.28515625" style="26" customWidth="1"/>
    <col min="25" max="25" width="26.42578125" customWidth="1"/>
    <col min="26" max="26" width="16.85546875" bestFit="1" customWidth="1"/>
    <col min="27" max="27" width="22" style="26" bestFit="1" customWidth="1"/>
    <col min="28" max="28" width="25.42578125" style="9" bestFit="1" customWidth="1"/>
    <col min="29" max="29" width="18.28515625" bestFit="1" customWidth="1"/>
    <col min="30" max="30" width="11.7109375" bestFit="1" customWidth="1"/>
    <col min="32" max="32" width="26.28515625" bestFit="1" customWidth="1"/>
    <col min="33" max="33" width="13.140625" bestFit="1" customWidth="1"/>
  </cols>
  <sheetData>
    <row r="1" spans="1:33" ht="30" customHeight="1" x14ac:dyDescent="0.25">
      <c r="A1" s="1" t="s">
        <v>0</v>
      </c>
      <c r="B1" s="1" t="s">
        <v>1</v>
      </c>
      <c r="C1" s="1" t="s">
        <v>2</v>
      </c>
      <c r="D1" s="12" t="s">
        <v>3</v>
      </c>
      <c r="E1" s="1" t="s">
        <v>4</v>
      </c>
      <c r="F1" s="1" t="s">
        <v>5</v>
      </c>
      <c r="G1" s="1" t="s">
        <v>6</v>
      </c>
      <c r="H1" s="1" t="s">
        <v>7</v>
      </c>
      <c r="I1" s="4" t="s">
        <v>8</v>
      </c>
      <c r="J1" s="1" t="s">
        <v>9</v>
      </c>
      <c r="K1" s="1" t="s">
        <v>10</v>
      </c>
      <c r="L1" s="13" t="s">
        <v>11</v>
      </c>
      <c r="M1" s="16" t="s">
        <v>277</v>
      </c>
      <c r="N1" s="13" t="s">
        <v>12</v>
      </c>
      <c r="O1" s="13" t="s">
        <v>352</v>
      </c>
      <c r="P1" s="16" t="s">
        <v>276</v>
      </c>
      <c r="Q1" s="1" t="s">
        <v>13</v>
      </c>
      <c r="R1" s="1" t="s">
        <v>14</v>
      </c>
      <c r="S1" s="12" t="s">
        <v>272</v>
      </c>
      <c r="T1" s="12" t="s">
        <v>273</v>
      </c>
      <c r="U1" s="4" t="s">
        <v>15</v>
      </c>
      <c r="V1" s="4" t="s">
        <v>266</v>
      </c>
      <c r="W1" s="8" t="s">
        <v>271</v>
      </c>
      <c r="X1" s="27" t="s">
        <v>267</v>
      </c>
      <c r="Y1" s="8" t="s">
        <v>268</v>
      </c>
      <c r="Z1" s="8" t="s">
        <v>269</v>
      </c>
      <c r="AA1" s="29" t="s">
        <v>349</v>
      </c>
      <c r="AB1" s="8" t="s">
        <v>350</v>
      </c>
      <c r="AC1" s="34" t="s">
        <v>360</v>
      </c>
      <c r="AD1" s="36" t="s">
        <v>361</v>
      </c>
      <c r="AE1" s="36" t="s">
        <v>362</v>
      </c>
      <c r="AF1" s="34" t="s">
        <v>363</v>
      </c>
      <c r="AG1" s="34" t="s">
        <v>364</v>
      </c>
    </row>
    <row r="2" spans="1:33" x14ac:dyDescent="0.25">
      <c r="A2" s="2" t="s">
        <v>16</v>
      </c>
      <c r="B2" s="2" t="s">
        <v>17</v>
      </c>
      <c r="C2" s="2" t="s">
        <v>18</v>
      </c>
      <c r="D2" s="2" t="s">
        <v>19</v>
      </c>
      <c r="E2" s="2" t="s">
        <v>20</v>
      </c>
      <c r="F2" s="2" t="s">
        <v>21</v>
      </c>
      <c r="G2" s="2" t="s">
        <v>22</v>
      </c>
      <c r="H2" s="2" t="s">
        <v>23</v>
      </c>
      <c r="I2" s="5">
        <v>45670</v>
      </c>
      <c r="J2" s="2">
        <v>90</v>
      </c>
      <c r="K2" s="2">
        <v>90</v>
      </c>
      <c r="L2" s="14">
        <v>1645067.11</v>
      </c>
      <c r="M2" s="14" t="str">
        <f>IF(Table1[[#This Row],[Budget_ZAR]]="", "Missing", "Present")</f>
        <v>Present</v>
      </c>
      <c r="N2" s="14"/>
      <c r="O2" s="14" t="str">
        <f>IF(Table1[[#This Row],[Actual_Cost_ZAR]]="","Missing","Present")</f>
        <v>Missing</v>
      </c>
      <c r="P2"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Actual Cost Missing</v>
      </c>
      <c r="Q2" s="2"/>
      <c r="R2" s="2" t="s">
        <v>24</v>
      </c>
      <c r="S2" s="2" t="str" cm="1">
        <f t="array" ref="S2">IF(Table1[[#This Row],[Progress_Percent]]="unknown","Unknown",_xlfn.IFS(Table1[[#This Row],[Progress_Percent]]&lt;=10,"Planning",Table1[[#This Row],[Progress_Percent]]&lt;100, "In Progress",Table1[[#This Row],[Progress_Percent]]=100,"Completed"))</f>
        <v>Planning</v>
      </c>
      <c r="T2" s="2" t="str">
        <f>IF(Table1[[#This Row],[Progress_Percent]]="unknown","Unknown",IF(Table1[[#This Row],[Project_Status]]="On Hold","Review",IF(Table1[[#This Row],[Project_Status]]=Table1[[#This Row],[Project_Expected_Status]],"OK","Mismatch")))</f>
        <v>OK</v>
      </c>
      <c r="U2" s="5">
        <v>45825</v>
      </c>
      <c r="V2">
        <f>Table1[[#This Row],[Actual_Duration_Days]]-Table1[[#This Row],[Planned_Duration_Days]]</f>
        <v>0</v>
      </c>
      <c r="W2" t="str" cm="1">
        <f t="array" ref="W2">_xlfn.IFS(Table1[[#This Row],[Schedule_Variance]]&gt;0,"Behind Schedule",Table1[[#This Row],[Schedule_Variance]]&lt;0,"Ahead of Schedule",Table1[[#This Row],[Schedule_Variance]]=0,"On Schedule")</f>
        <v>On Schedule</v>
      </c>
      <c r="X2" s="26" t="str">
        <f>IF(OR(ISBLANK(Table1[[#This Row],[Actual_Cost_ZAR]])),"",Table1[[#This Row],[Actual_Cost_ZAR]]-Table1[[#This Row],[Budget_ZAR]])</f>
        <v/>
      </c>
      <c r="Y2" s="9" t="str">
        <f>IF(OR(Table1[[#This Row],[Cost_Variance]]="",Table1[[#This Row],[Budget_ZAR]]=""),"",Table1[[#This Row],[Cost_Variance]]/Table1[[#This Row],[Budget_ZAR]])</f>
        <v/>
      </c>
      <c r="Z2" t="str">
        <f>IF(OR(Table1[[#This Row],[Budget_ZAR]]="",Table1[[#This Row],[Actual_Cost_ZAR]]=""),"Missing Data",IF(Table1[[#This Row],[Cost_Variance]]&lt;0,"Under Budget",IF(Table1[[#This Row],[Cost_Variance]]=0,"On Budget","Over Budget")))</f>
        <v>Missing Data</v>
      </c>
      <c r="AA2" s="26">
        <f>IF(OR(ISBLANK(Table1[[#This Row],[Actual_Cost_ZAR]]),ISBLANK(Table1[[#This Row],[Budget_ZAR]])),0,Table1[[#This Row],[Actual_Cost_ZAR]]-Table1[[#This Row],[Budget_ZAR]])</f>
        <v>0</v>
      </c>
      <c r="AB2" s="9">
        <f>IF(OR(Table1[[#This Row],[Cost_Variance]]="",Table1[[#This Row],[Budget_ZAR]]=""),0,Table1[[#This Row],[Cost_Variance]]/Table1[[#This Row],[Budget_ZAR]])</f>
        <v>0</v>
      </c>
      <c r="AC2" t="str">
        <f>IF(Table1[[#This Row],[Last_Updated]] = "","Missing Date",IF(Table1[[#This Row],[Last_Updated]]=_xlfn.MAXIFS(Table1[Last_Updated],Table1[Project_ID],Table1[[#This Row],[Project_ID]]),"Latest","Older"))</f>
        <v>Older</v>
      </c>
      <c r="AD2">
        <f>COUNTIFS(Table1[Project_ID],Table1[[#This Row],[Project_ID]],Table1[Last_Updated],"&gt;0")</f>
        <v>3</v>
      </c>
      <c r="AE2">
        <f>COUNTIFS(Table1[Project_ID],Table1[[#This Row],[Project_ID]],Table1[Latest_Record_Flag],"Latest")</f>
        <v>1</v>
      </c>
      <c r="AF2" t="str">
        <f>IF(Table1[[#This Row],[Latest_Count]]&gt;1,"Potential Duplicate -Review","Unique")</f>
        <v>Unique</v>
      </c>
      <c r="AG2" t="str">
        <f>IF(Table1[[#This Row],[Latest_Record_Flag]]&lt;&gt;"Latest","",IF(Table1[[#This Row],[Latest_Count]]&gt;1,"Review - Tied Latest Date", "OK"))</f>
        <v/>
      </c>
    </row>
    <row r="3" spans="1:33" x14ac:dyDescent="0.25">
      <c r="A3" s="2" t="s">
        <v>25</v>
      </c>
      <c r="B3" s="2" t="s">
        <v>26</v>
      </c>
      <c r="C3" s="2" t="s">
        <v>27</v>
      </c>
      <c r="D3" s="2" t="s">
        <v>28</v>
      </c>
      <c r="E3" s="2" t="s">
        <v>29</v>
      </c>
      <c r="F3" s="2" t="s">
        <v>30</v>
      </c>
      <c r="G3" s="2" t="s">
        <v>31</v>
      </c>
      <c r="H3" s="2" t="s">
        <v>32</v>
      </c>
      <c r="I3" s="5">
        <v>45945</v>
      </c>
      <c r="J3" s="2">
        <v>70</v>
      </c>
      <c r="K3" s="2">
        <v>100</v>
      </c>
      <c r="L3" s="14">
        <v>4311777.74</v>
      </c>
      <c r="M3" s="14" t="str">
        <f>IF(Table1[[#This Row],[Budget_ZAR]]="", "Missing", "Present")</f>
        <v>Present</v>
      </c>
      <c r="N3" s="14">
        <v>4538019.91</v>
      </c>
      <c r="O3" s="14" t="str">
        <f>IF(Table1[[#This Row],[Actual_Cost_ZAR]]="","Missing","Present")</f>
        <v>Present</v>
      </c>
      <c r="P3"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3" s="2">
        <v>40</v>
      </c>
      <c r="R3" s="2" t="s">
        <v>33</v>
      </c>
      <c r="S3" s="2" t="str" cm="1">
        <f t="array" ref="S3">IF(Table1[[#This Row],[Progress_Percent]]="unknown","Unknown",_xlfn.IFS(Table1[[#This Row],[Progress_Percent]]&lt;=10,"Planning",Table1[[#This Row],[Progress_Percent]]&lt;100, "In Progress",Table1[[#This Row],[Progress_Percent]]=100,"Completed"))</f>
        <v>In Progress</v>
      </c>
      <c r="T3" s="2" t="str">
        <f>IF(Table1[[#This Row],[Progress_Percent]]="unknown","Unknown",IF(Table1[[#This Row],[Project_Status]]="On Hold","Review",IF(Table1[[#This Row],[Project_Status]]=Table1[[#This Row],[Project_Expected_Status]],"OK","Mismatch")))</f>
        <v>Review</v>
      </c>
      <c r="U3" s="5">
        <v>46001</v>
      </c>
      <c r="V3">
        <f>Table1[[#This Row],[Actual_Duration_Days]]-Table1[[#This Row],[Planned_Duration_Days]]</f>
        <v>30</v>
      </c>
      <c r="W3" t="str" cm="1">
        <f t="array" ref="W3">_xlfn.IFS(Table1[[#This Row],[Schedule_Variance]]&gt;0,"Behind Schedule",Table1[[#This Row],[Schedule_Variance]]&lt;0,"Ahead of Schedule",Table1[[#This Row],[Schedule_Variance]]=0,"On Schedule")</f>
        <v>Behind Schedule</v>
      </c>
      <c r="X3" s="26">
        <f>IF(OR(ISBLANK(Table1[[#This Row],[Actual_Cost_ZAR]])),"",Table1[[#This Row],[Actual_Cost_ZAR]]-Table1[[#This Row],[Budget_ZAR]])</f>
        <v>226242.16999999993</v>
      </c>
      <c r="Y3" s="9">
        <f>IF(OR(Table1[[#This Row],[Cost_Variance]]="",Table1[[#This Row],[Budget_ZAR]]=""),"",Table1[[#This Row],[Cost_Variance]]/Table1[[#This Row],[Budget_ZAR]])</f>
        <v>5.2470740293770315E-2</v>
      </c>
      <c r="Z3" t="str">
        <f>IF(OR(Table1[[#This Row],[Budget_ZAR]]="",Table1[[#This Row],[Actual_Cost_ZAR]]=""),"Missing Data",IF(Table1[[#This Row],[Cost_Variance]]&lt;0,"Under Budget",IF(Table1[[#This Row],[Cost_Variance]]=0,"On Budget","Over Budget")))</f>
        <v>Over Budget</v>
      </c>
      <c r="AA3" s="26">
        <f>IF(OR(ISBLANK(Table1[[#This Row],[Actual_Cost_ZAR]]),ISBLANK(Table1[[#This Row],[Budget_ZAR]])),0,Table1[[#This Row],[Actual_Cost_ZAR]]-Table1[[#This Row],[Budget_ZAR]])</f>
        <v>226242.16999999993</v>
      </c>
      <c r="AB3" s="9">
        <f>IF(OR(Table1[[#This Row],[Cost_Variance]]="",Table1[[#This Row],[Budget_ZAR]]=""),0,Table1[[#This Row],[Cost_Variance]]/Table1[[#This Row],[Budget_ZAR]])</f>
        <v>5.2470740293770315E-2</v>
      </c>
      <c r="AC3" t="str">
        <f>IF(Table1[[#This Row],[Last_Updated]] = "","Missing Date",IF(Table1[[#This Row],[Last_Updated]]=_xlfn.MAXIFS(Table1[Last_Updated],Table1[Project_ID],Table1[[#This Row],[Project_ID]]),"Latest","Older"))</f>
        <v>Older</v>
      </c>
      <c r="AD3">
        <f>COUNTIFS(Table1[Project_ID],Table1[[#This Row],[Project_ID]],Table1[Last_Updated],"&gt;0")</f>
        <v>4</v>
      </c>
      <c r="AE3">
        <f>COUNTIFS(Table1[Project_ID],Table1[[#This Row],[Project_ID]],Table1[Latest_Record_Flag],"Latest")</f>
        <v>1</v>
      </c>
      <c r="AF3" t="str">
        <f>IF(Table1[[#This Row],[Latest_Count]]&gt;1,"Potential Duplicate -Review","Unique")</f>
        <v>Unique</v>
      </c>
      <c r="AG3" t="str">
        <f>IF(Table1[[#This Row],[Latest_Record_Flag]]&lt;&gt;"Latest","",IF(Table1[[#This Row],[Latest_Count]]&gt;1,"Review - Tied Latest Date", "OK"))</f>
        <v/>
      </c>
    </row>
    <row r="4" spans="1:33" x14ac:dyDescent="0.25">
      <c r="A4" s="2" t="s">
        <v>34</v>
      </c>
      <c r="B4" s="2" t="s">
        <v>35</v>
      </c>
      <c r="C4" s="2" t="s">
        <v>36</v>
      </c>
      <c r="D4" s="2" t="s">
        <v>37</v>
      </c>
      <c r="E4" s="2" t="s">
        <v>20</v>
      </c>
      <c r="F4" s="2" t="s">
        <v>265</v>
      </c>
      <c r="G4" s="2" t="s">
        <v>31</v>
      </c>
      <c r="H4" s="2" t="s">
        <v>38</v>
      </c>
      <c r="I4" s="5">
        <v>45710</v>
      </c>
      <c r="J4" s="2">
        <v>43</v>
      </c>
      <c r="K4" s="2">
        <v>52</v>
      </c>
      <c r="L4" s="14"/>
      <c r="M4" s="14" t="str">
        <f>IF(Table1[[#This Row],[Budget_ZAR]]="", "Missing", "Present")</f>
        <v>Missing</v>
      </c>
      <c r="N4" s="14">
        <v>1028574.72</v>
      </c>
      <c r="O4" s="14" t="str">
        <f>IF(Table1[[#This Row],[Actual_Cost_ZAR]]="","Missing","Present")</f>
        <v>Present</v>
      </c>
      <c r="P4"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Budget Missing</v>
      </c>
      <c r="Q4" s="2">
        <v>55</v>
      </c>
      <c r="R4" s="2" t="s">
        <v>24</v>
      </c>
      <c r="S4" s="2" t="str" cm="1">
        <f t="array" ref="S4">IF(Table1[[#This Row],[Progress_Percent]]="unknown","Unknown",_xlfn.IFS(Table1[[#This Row],[Progress_Percent]]&lt;=10,"Planning",Table1[[#This Row],[Progress_Percent]]&lt;100, "In Progress",Table1[[#This Row],[Progress_Percent]]=100,"Completed"))</f>
        <v>In Progress</v>
      </c>
      <c r="T4" s="2" t="str">
        <f>IF(Table1[[#This Row],[Progress_Percent]]="unknown","Unknown",IF(Table1[[#This Row],[Project_Status]]="On Hold","Review",IF(Table1[[#This Row],[Project_Status]]=Table1[[#This Row],[Project_Expected_Status]],"OK","Mismatch")))</f>
        <v>Mismatch</v>
      </c>
      <c r="U4" s="5">
        <v>45869</v>
      </c>
      <c r="V4">
        <f>Table1[[#This Row],[Actual_Duration_Days]]-Table1[[#This Row],[Planned_Duration_Days]]</f>
        <v>9</v>
      </c>
      <c r="W4" t="str" cm="1">
        <f t="array" ref="W4">_xlfn.IFS(Table1[[#This Row],[Schedule_Variance]]&gt;0,"Behind Schedule",Table1[[#This Row],[Schedule_Variance]]&lt;0,"Ahead of Schedule",Table1[[#This Row],[Schedule_Variance]]=0,"On Schedule")</f>
        <v>Behind Schedule</v>
      </c>
      <c r="X4" s="26">
        <f>IF(OR(ISBLANK(Table1[[#This Row],[Actual_Cost_ZAR]])),"",Table1[[#This Row],[Actual_Cost_ZAR]]-Table1[[#This Row],[Budget_ZAR]])</f>
        <v>1028574.72</v>
      </c>
      <c r="Y4" s="9" t="str">
        <f>IF(OR(Table1[[#This Row],[Cost_Variance]]="",Table1[[#This Row],[Budget_ZAR]]=""),"",Table1[[#This Row],[Cost_Variance]]/Table1[[#This Row],[Budget_ZAR]])</f>
        <v/>
      </c>
      <c r="Z4" t="str">
        <f>IF(OR(Table1[[#This Row],[Budget_ZAR]]="",Table1[[#This Row],[Actual_Cost_ZAR]]=""),"Missing Data",IF(Table1[[#This Row],[Cost_Variance]]&lt;0,"Under Budget",IF(Table1[[#This Row],[Cost_Variance]]=0,"On Budget","Over Budget")))</f>
        <v>Missing Data</v>
      </c>
      <c r="AA4" s="26">
        <f>IF(OR(ISBLANK(Table1[[#This Row],[Actual_Cost_ZAR]]),ISBLANK(Table1[[#This Row],[Budget_ZAR]])),0,Table1[[#This Row],[Actual_Cost_ZAR]]-Table1[[#This Row],[Budget_ZAR]])</f>
        <v>0</v>
      </c>
      <c r="AB4" s="9">
        <f>IF(OR(Table1[[#This Row],[Cost_Variance]]="",Table1[[#This Row],[Budget_ZAR]]=""),0,Table1[[#This Row],[Cost_Variance]]/Table1[[#This Row],[Budget_ZAR]])</f>
        <v>0</v>
      </c>
      <c r="AC4" t="str">
        <f>IF(Table1[[#This Row],[Last_Updated]] = "","Missing Date",IF(Table1[[#This Row],[Last_Updated]]=_xlfn.MAXIFS(Table1[Last_Updated],Table1[Project_ID],Table1[[#This Row],[Project_ID]]),"Latest","Older"))</f>
        <v>Older</v>
      </c>
      <c r="AD4">
        <f>COUNTIFS(Table1[Project_ID],Table1[[#This Row],[Project_ID]],Table1[Last_Updated],"&gt;0")</f>
        <v>6</v>
      </c>
      <c r="AE4">
        <f>COUNTIFS(Table1[Project_ID],Table1[[#This Row],[Project_ID]],Table1[Latest_Record_Flag],"Latest")</f>
        <v>1</v>
      </c>
      <c r="AF4" t="str">
        <f>IF(Table1[[#This Row],[Latest_Count]]&gt;1,"Potential Duplicate -Review","Unique")</f>
        <v>Unique</v>
      </c>
      <c r="AG4" t="str">
        <f>IF(Table1[[#This Row],[Latest_Record_Flag]]&lt;&gt;"Latest","",IF(Table1[[#This Row],[Latest_Count]]&gt;1,"Review - Tied Latest Date", "OK"))</f>
        <v/>
      </c>
    </row>
    <row r="5" spans="1:33" x14ac:dyDescent="0.25">
      <c r="A5" s="2" t="s">
        <v>40</v>
      </c>
      <c r="B5" s="2" t="s">
        <v>41</v>
      </c>
      <c r="C5" s="2" t="s">
        <v>42</v>
      </c>
      <c r="D5" s="2" t="s">
        <v>37</v>
      </c>
      <c r="E5" s="2" t="s">
        <v>43</v>
      </c>
      <c r="F5" s="2" t="s">
        <v>44</v>
      </c>
      <c r="G5" s="2" t="s">
        <v>31</v>
      </c>
      <c r="H5" s="2" t="s">
        <v>32</v>
      </c>
      <c r="I5" s="5">
        <v>45953</v>
      </c>
      <c r="J5" s="2">
        <v>69</v>
      </c>
      <c r="K5" s="2">
        <v>99</v>
      </c>
      <c r="L5" s="14">
        <v>684719.68</v>
      </c>
      <c r="M5" s="14" t="str">
        <f>IF(Table1[[#This Row],[Budget_ZAR]]="", "Missing", "Present")</f>
        <v>Present</v>
      </c>
      <c r="N5" s="14">
        <v>760471.35</v>
      </c>
      <c r="O5" s="14" t="str">
        <f>IF(Table1[[#This Row],[Actual_Cost_ZAR]]="","Missing","Present")</f>
        <v>Present</v>
      </c>
      <c r="P5"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5" s="2">
        <v>55</v>
      </c>
      <c r="R5" s="2" t="s">
        <v>33</v>
      </c>
      <c r="S5" s="2" t="str" cm="1">
        <f t="array" ref="S5">IF(Table1[[#This Row],[Progress_Percent]]="unknown","Unknown",_xlfn.IFS(Table1[[#This Row],[Progress_Percent]]&lt;=10,"Planning",Table1[[#This Row],[Progress_Percent]]&lt;100, "In Progress",Table1[[#This Row],[Progress_Percent]]=100,"Completed"))</f>
        <v>In Progress</v>
      </c>
      <c r="T5" s="2" t="str">
        <f>IF(Table1[[#This Row],[Progress_Percent]]="unknown","Unknown",IF(Table1[[#This Row],[Project_Status]]="On Hold","Review",IF(Table1[[#This Row],[Project_Status]]=Table1[[#This Row],[Project_Expected_Status]],"OK","Mismatch")))</f>
        <v>Review</v>
      </c>
      <c r="U5" s="5">
        <v>46048</v>
      </c>
      <c r="V5">
        <f>Table1[[#This Row],[Actual_Duration_Days]]-Table1[[#This Row],[Planned_Duration_Days]]</f>
        <v>30</v>
      </c>
      <c r="W5" t="str" cm="1">
        <f t="array" ref="W5">_xlfn.IFS(Table1[[#This Row],[Schedule_Variance]]&gt;0,"Behind Schedule",Table1[[#This Row],[Schedule_Variance]]&lt;0,"Ahead of Schedule",Table1[[#This Row],[Schedule_Variance]]=0,"On Schedule")</f>
        <v>Behind Schedule</v>
      </c>
      <c r="X5" s="26">
        <f>IF(OR(ISBLANK(Table1[[#This Row],[Actual_Cost_ZAR]])),"",Table1[[#This Row],[Actual_Cost_ZAR]]-Table1[[#This Row],[Budget_ZAR]])</f>
        <v>75751.669999999925</v>
      </c>
      <c r="Y5" s="9">
        <f>IF(OR(Table1[[#This Row],[Cost_Variance]]="",Table1[[#This Row],[Budget_ZAR]]=""),"",Table1[[#This Row],[Cost_Variance]]/Table1[[#This Row],[Budget_ZAR]])</f>
        <v>0.11063165294153648</v>
      </c>
      <c r="Z5" t="str">
        <f>IF(OR(Table1[[#This Row],[Budget_ZAR]]="",Table1[[#This Row],[Actual_Cost_ZAR]]=""),"Missing Data",IF(Table1[[#This Row],[Cost_Variance]]&lt;0,"Under Budget",IF(Table1[[#This Row],[Cost_Variance]]=0,"On Budget","Over Budget")))</f>
        <v>Over Budget</v>
      </c>
      <c r="AA5" s="26">
        <f>IF(OR(ISBLANK(Table1[[#This Row],[Actual_Cost_ZAR]]),ISBLANK(Table1[[#This Row],[Budget_ZAR]])),0,Table1[[#This Row],[Actual_Cost_ZAR]]-Table1[[#This Row],[Budget_ZAR]])</f>
        <v>75751.669999999925</v>
      </c>
      <c r="AB5" s="9">
        <f>IF(OR(Table1[[#This Row],[Cost_Variance]]="",Table1[[#This Row],[Budget_ZAR]]=""),0,Table1[[#This Row],[Cost_Variance]]/Table1[[#This Row],[Budget_ZAR]])</f>
        <v>0.11063165294153648</v>
      </c>
      <c r="AC5" t="str">
        <f>IF(Table1[[#This Row],[Last_Updated]] = "","Missing Date",IF(Table1[[#This Row],[Last_Updated]]=_xlfn.MAXIFS(Table1[Last_Updated],Table1[Project_ID],Table1[[#This Row],[Project_ID]]),"Latest","Older"))</f>
        <v>Latest</v>
      </c>
      <c r="AD5">
        <f>COUNTIFS(Table1[Project_ID],Table1[[#This Row],[Project_ID]],Table1[Last_Updated],"&gt;0")</f>
        <v>4</v>
      </c>
      <c r="AE5">
        <f>COUNTIFS(Table1[Project_ID],Table1[[#This Row],[Project_ID]],Table1[Latest_Record_Flag],"Latest")</f>
        <v>1</v>
      </c>
      <c r="AF5" t="str">
        <f>IF(Table1[[#This Row],[Latest_Count]]&gt;1,"Potential Duplicate -Review","Unique")</f>
        <v>Unique</v>
      </c>
      <c r="AG5" t="str">
        <f>IF(Table1[[#This Row],[Latest_Record_Flag]]&lt;&gt;"Latest","",IF(Table1[[#This Row],[Latest_Count]]&gt;1,"Review - Tied Latest Date", "OK"))</f>
        <v>OK</v>
      </c>
    </row>
    <row r="6" spans="1:33" x14ac:dyDescent="0.25">
      <c r="A6" s="2" t="s">
        <v>46</v>
      </c>
      <c r="B6" s="2" t="s">
        <v>41</v>
      </c>
      <c r="C6" s="2" t="s">
        <v>47</v>
      </c>
      <c r="D6" s="2" t="s">
        <v>37</v>
      </c>
      <c r="E6" s="2" t="s">
        <v>43</v>
      </c>
      <c r="F6" s="2" t="s">
        <v>48</v>
      </c>
      <c r="G6" s="2" t="s">
        <v>22</v>
      </c>
      <c r="H6" s="2" t="s">
        <v>38</v>
      </c>
      <c r="I6" s="5">
        <v>45765</v>
      </c>
      <c r="J6" s="2">
        <v>88</v>
      </c>
      <c r="K6" s="2">
        <v>117</v>
      </c>
      <c r="L6" s="14">
        <v>6104091.1699999999</v>
      </c>
      <c r="M6" s="14" t="str">
        <f>IF(Table1[[#This Row],[Budget_ZAR]]="", "Missing", "Present")</f>
        <v>Present</v>
      </c>
      <c r="N6" s="14">
        <v>6739024.6500000004</v>
      </c>
      <c r="O6" s="14" t="str">
        <f>IF(Table1[[#This Row],[Actual_Cost_ZAR]]="","Missing","Present")</f>
        <v>Present</v>
      </c>
      <c r="P6"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6" s="2">
        <v>25</v>
      </c>
      <c r="R6" s="2" t="s">
        <v>49</v>
      </c>
      <c r="S6" s="2" t="str" cm="1">
        <f t="array" ref="S6">IF(Table1[[#This Row],[Progress_Percent]]="unknown","Unknown",_xlfn.IFS(Table1[[#This Row],[Progress_Percent]]&lt;=10,"Planning",Table1[[#This Row],[Progress_Percent]]&lt;100, "In Progress",Table1[[#This Row],[Progress_Percent]]=100,"Completed"))</f>
        <v>In Progress</v>
      </c>
      <c r="T6" s="2" t="str">
        <f>IF(Table1[[#This Row],[Progress_Percent]]="unknown","Unknown",IF(Table1[[#This Row],[Project_Status]]="On Hold","Review",IF(Table1[[#This Row],[Project_Status]]=Table1[[#This Row],[Project_Expected_Status]],"OK","Mismatch")))</f>
        <v>OK</v>
      </c>
      <c r="U6" s="5"/>
      <c r="V6">
        <f>Table1[[#This Row],[Actual_Duration_Days]]-Table1[[#This Row],[Planned_Duration_Days]]</f>
        <v>29</v>
      </c>
      <c r="W6" t="str" cm="1">
        <f t="array" ref="W6">_xlfn.IFS(Table1[[#This Row],[Schedule_Variance]]&gt;0,"Behind Schedule",Table1[[#This Row],[Schedule_Variance]]&lt;0,"Ahead of Schedule",Table1[[#This Row],[Schedule_Variance]]=0,"On Schedule")</f>
        <v>Behind Schedule</v>
      </c>
      <c r="X6" s="26">
        <f>IF(OR(ISBLANK(Table1[[#This Row],[Actual_Cost_ZAR]])),"",Table1[[#This Row],[Actual_Cost_ZAR]]-Table1[[#This Row],[Budget_ZAR]])</f>
        <v>634933.48000000045</v>
      </c>
      <c r="Y6" s="9">
        <f>IF(OR(Table1[[#This Row],[Cost_Variance]]="",Table1[[#This Row],[Budget_ZAR]]=""),"",Table1[[#This Row],[Cost_Variance]]/Table1[[#This Row],[Budget_ZAR]])</f>
        <v>0.10401769277636796</v>
      </c>
      <c r="Z6" t="str">
        <f>IF(OR(Table1[[#This Row],[Budget_ZAR]]="",Table1[[#This Row],[Actual_Cost_ZAR]]=""),"Missing Data",IF(Table1[[#This Row],[Cost_Variance]]&lt;0,"Under Budget",IF(Table1[[#This Row],[Cost_Variance]]=0,"On Budget","Over Budget")))</f>
        <v>Over Budget</v>
      </c>
      <c r="AA6" s="26">
        <f>IF(OR(ISBLANK(Table1[[#This Row],[Actual_Cost_ZAR]]),ISBLANK(Table1[[#This Row],[Budget_ZAR]])),0,Table1[[#This Row],[Actual_Cost_ZAR]]-Table1[[#This Row],[Budget_ZAR]])</f>
        <v>634933.48000000045</v>
      </c>
      <c r="AB6" s="9">
        <f>IF(OR(Table1[[#This Row],[Cost_Variance]]="",Table1[[#This Row],[Budget_ZAR]]=""),0,Table1[[#This Row],[Cost_Variance]]/Table1[[#This Row],[Budget_ZAR]])</f>
        <v>0.10401769277636796</v>
      </c>
      <c r="AC6" t="str">
        <f>IF(Table1[[#This Row],[Last_Updated]] = "","Missing Date",IF(Table1[[#This Row],[Last_Updated]]=_xlfn.MAXIFS(Table1[Last_Updated],Table1[Project_ID],Table1[[#This Row],[Project_ID]]),"Latest","Older"))</f>
        <v>Missing Date</v>
      </c>
      <c r="AD6">
        <f>COUNTIFS(Table1[Project_ID],Table1[[#This Row],[Project_ID]],Table1[Last_Updated],"&gt;0")</f>
        <v>4</v>
      </c>
      <c r="AE6">
        <f>COUNTIFS(Table1[Project_ID],Table1[[#This Row],[Project_ID]],Table1[Latest_Record_Flag],"Latest")</f>
        <v>1</v>
      </c>
      <c r="AF6" t="str">
        <f>IF(Table1[[#This Row],[Latest_Count]]&gt;1,"Potential Duplicate -Review","Unique")</f>
        <v>Unique</v>
      </c>
      <c r="AG6" t="str">
        <f>IF(Table1[[#This Row],[Latest_Record_Flag]]&lt;&gt;"Latest","",IF(Table1[[#This Row],[Latest_Count]]&gt;1,"Review - Tied Latest Date", "OK"))</f>
        <v/>
      </c>
    </row>
    <row r="7" spans="1:33" x14ac:dyDescent="0.25">
      <c r="A7" s="2" t="s">
        <v>50</v>
      </c>
      <c r="B7" s="2" t="s">
        <v>51</v>
      </c>
      <c r="C7" s="2" t="s">
        <v>52</v>
      </c>
      <c r="D7" s="2" t="s">
        <v>37</v>
      </c>
      <c r="E7" s="2" t="s">
        <v>29</v>
      </c>
      <c r="F7" s="2" t="s">
        <v>21</v>
      </c>
      <c r="G7" s="2" t="s">
        <v>31</v>
      </c>
      <c r="H7" s="2" t="s">
        <v>32</v>
      </c>
      <c r="I7" s="5">
        <v>45775</v>
      </c>
      <c r="J7" s="2">
        <v>28</v>
      </c>
      <c r="K7" s="2">
        <v>64</v>
      </c>
      <c r="L7" s="14">
        <v>2221581.5499999998</v>
      </c>
      <c r="M7" s="14" t="str">
        <f>IF(Table1[[#This Row],[Budget_ZAR]]="", "Missing", "Present")</f>
        <v>Present</v>
      </c>
      <c r="N7" s="14">
        <v>2030237.7</v>
      </c>
      <c r="O7" s="14" t="str">
        <f>IF(Table1[[#This Row],[Actual_Cost_ZAR]]="","Missing","Present")</f>
        <v>Present</v>
      </c>
      <c r="P7"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7" s="2">
        <v>40</v>
      </c>
      <c r="R7" s="2" t="s">
        <v>54</v>
      </c>
      <c r="S7" s="2" t="str" cm="1">
        <f t="array" ref="S7">IF(Table1[[#This Row],[Progress_Percent]]="unknown","Unknown",_xlfn.IFS(Table1[[#This Row],[Progress_Percent]]&lt;=10,"Planning",Table1[[#This Row],[Progress_Percent]]&lt;100, "In Progress",Table1[[#This Row],[Progress_Percent]]=100,"Completed"))</f>
        <v>In Progress</v>
      </c>
      <c r="T7" s="2" t="str">
        <f>IF(Table1[[#This Row],[Progress_Percent]]="unknown","Unknown",IF(Table1[[#This Row],[Project_Status]]="On Hold","Review",IF(Table1[[#This Row],[Project_Status]]=Table1[[#This Row],[Project_Expected_Status]],"OK","Mismatch")))</f>
        <v>Mismatch</v>
      </c>
      <c r="U7" s="5"/>
      <c r="V7">
        <f>Table1[[#This Row],[Actual_Duration_Days]]-Table1[[#This Row],[Planned_Duration_Days]]</f>
        <v>36</v>
      </c>
      <c r="W7" t="str" cm="1">
        <f t="array" ref="W7">_xlfn.IFS(Table1[[#This Row],[Schedule_Variance]]&gt;0,"Behind Schedule",Table1[[#This Row],[Schedule_Variance]]&lt;0,"Ahead of Schedule",Table1[[#This Row],[Schedule_Variance]]=0,"On Schedule")</f>
        <v>Behind Schedule</v>
      </c>
      <c r="X7" s="26">
        <f>IF(OR(ISBLANK(Table1[[#This Row],[Actual_Cost_ZAR]])),"",Table1[[#This Row],[Actual_Cost_ZAR]]-Table1[[#This Row],[Budget_ZAR]])</f>
        <v>-191343.84999999986</v>
      </c>
      <c r="Y7" s="9">
        <f>IF(OR(Table1[[#This Row],[Cost_Variance]]="",Table1[[#This Row],[Budget_ZAR]]=""),"",Table1[[#This Row],[Cost_Variance]]/Table1[[#This Row],[Budget_ZAR]])</f>
        <v>-8.6129563868587167E-2</v>
      </c>
      <c r="Z7" t="str">
        <f>IF(OR(Table1[[#This Row],[Budget_ZAR]]="",Table1[[#This Row],[Actual_Cost_ZAR]]=""),"Missing Data",IF(Table1[[#This Row],[Cost_Variance]]&lt;0,"Under Budget",IF(Table1[[#This Row],[Cost_Variance]]=0,"On Budget","Over Budget")))</f>
        <v>Under Budget</v>
      </c>
      <c r="AA7" s="26">
        <f>IF(OR(ISBLANK(Table1[[#This Row],[Actual_Cost_ZAR]]),ISBLANK(Table1[[#This Row],[Budget_ZAR]])),0,Table1[[#This Row],[Actual_Cost_ZAR]]-Table1[[#This Row],[Budget_ZAR]])</f>
        <v>-191343.84999999986</v>
      </c>
      <c r="AB7" s="9">
        <f>IF(OR(Table1[[#This Row],[Cost_Variance]]="",Table1[[#This Row],[Budget_ZAR]]=""),0,Table1[[#This Row],[Cost_Variance]]/Table1[[#This Row],[Budget_ZAR]])</f>
        <v>-8.6129563868587167E-2</v>
      </c>
      <c r="AC7" t="str">
        <f>IF(Table1[[#This Row],[Last_Updated]] = "","Missing Date",IF(Table1[[#This Row],[Last_Updated]]=_xlfn.MAXIFS(Table1[Last_Updated],Table1[Project_ID],Table1[[#This Row],[Project_ID]]),"Latest","Older"))</f>
        <v>Missing Date</v>
      </c>
      <c r="AD7">
        <f>COUNTIFS(Table1[Project_ID],Table1[[#This Row],[Project_ID]],Table1[Last_Updated],"&gt;0")</f>
        <v>4</v>
      </c>
      <c r="AE7" s="37">
        <f>COUNTIFS(Table1[Project_ID],Table1[[#This Row],[Project_ID]],Table1[Latest_Record_Flag],"Latest")</f>
        <v>1</v>
      </c>
      <c r="AF7" t="str">
        <f>IF(Table1[[#This Row],[Latest_Count]]&gt;1,"Potential Duplicate -Review","Unique")</f>
        <v>Unique</v>
      </c>
      <c r="AG7" t="str">
        <f>IF(Table1[[#This Row],[Latest_Record_Flag]]&lt;&gt;"Latest","",IF(Table1[[#This Row],[Latest_Count]]&gt;1,"Review - Tied Latest Date", "OK"))</f>
        <v/>
      </c>
    </row>
    <row r="8" spans="1:33" x14ac:dyDescent="0.25">
      <c r="A8" s="2" t="s">
        <v>55</v>
      </c>
      <c r="B8" s="2" t="s">
        <v>56</v>
      </c>
      <c r="C8" s="2" t="s">
        <v>57</v>
      </c>
      <c r="D8" s="2" t="s">
        <v>58</v>
      </c>
      <c r="E8" s="2" t="s">
        <v>29</v>
      </c>
      <c r="F8" s="2" t="s">
        <v>59</v>
      </c>
      <c r="G8" s="2" t="s">
        <v>60</v>
      </c>
      <c r="H8" s="2" t="s">
        <v>61</v>
      </c>
      <c r="I8" s="5">
        <v>45933</v>
      </c>
      <c r="J8" s="2">
        <v>87</v>
      </c>
      <c r="K8" s="2">
        <v>119</v>
      </c>
      <c r="L8" s="14">
        <v>3903662.44</v>
      </c>
      <c r="M8" s="14" t="str">
        <f>IF(Table1[[#This Row],[Budget_ZAR]]="", "Missing", "Present")</f>
        <v>Present</v>
      </c>
      <c r="N8" s="14">
        <v>4797255.4400000004</v>
      </c>
      <c r="O8" s="14" t="str">
        <f>IF(Table1[[#This Row],[Actual_Cost_ZAR]]="","Missing","Present")</f>
        <v>Present</v>
      </c>
      <c r="P8"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8" s="2">
        <v>85</v>
      </c>
      <c r="R8" s="2" t="s">
        <v>54</v>
      </c>
      <c r="S8" s="2" t="str" cm="1">
        <f t="array" ref="S8">IF(Table1[[#This Row],[Progress_Percent]]="unknown","Unknown",_xlfn.IFS(Table1[[#This Row],[Progress_Percent]]&lt;=10,"Planning",Table1[[#This Row],[Progress_Percent]]&lt;100, "In Progress",Table1[[#This Row],[Progress_Percent]]=100,"Completed"))</f>
        <v>In Progress</v>
      </c>
      <c r="T8" s="2" t="str">
        <f>IF(Table1[[#This Row],[Progress_Percent]]="unknown","Unknown",IF(Table1[[#This Row],[Project_Status]]="On Hold","Review",IF(Table1[[#This Row],[Project_Status]]=Table1[[#This Row],[Project_Expected_Status]],"OK","Mismatch")))</f>
        <v>Mismatch</v>
      </c>
      <c r="U8" s="5">
        <v>45973</v>
      </c>
      <c r="V8">
        <f>Table1[[#This Row],[Actual_Duration_Days]]-Table1[[#This Row],[Planned_Duration_Days]]</f>
        <v>32</v>
      </c>
      <c r="W8" t="str" cm="1">
        <f t="array" ref="W8">_xlfn.IFS(Table1[[#This Row],[Schedule_Variance]]&gt;0,"Behind Schedule",Table1[[#This Row],[Schedule_Variance]]&lt;0,"Ahead of Schedule",Table1[[#This Row],[Schedule_Variance]]=0,"On Schedule")</f>
        <v>Behind Schedule</v>
      </c>
      <c r="X8" s="26">
        <f>IF(OR(ISBLANK(Table1[[#This Row],[Actual_Cost_ZAR]])),"",Table1[[#This Row],[Actual_Cost_ZAR]]-Table1[[#This Row],[Budget_ZAR]])</f>
        <v>893593.00000000047</v>
      </c>
      <c r="Y8" s="9">
        <f>IF(OR(Table1[[#This Row],[Cost_Variance]]="",Table1[[#This Row],[Budget_ZAR]]=""),"",Table1[[#This Row],[Cost_Variance]]/Table1[[#This Row],[Budget_ZAR]])</f>
        <v>0.22891144245556244</v>
      </c>
      <c r="Z8" t="str">
        <f>IF(OR(Table1[[#This Row],[Budget_ZAR]]="",Table1[[#This Row],[Actual_Cost_ZAR]]=""),"Missing Data",IF(Table1[[#This Row],[Cost_Variance]]&lt;0,"Under Budget",IF(Table1[[#This Row],[Cost_Variance]]=0,"On Budget","Over Budget")))</f>
        <v>Over Budget</v>
      </c>
      <c r="AA8" s="26">
        <f>IF(OR(ISBLANK(Table1[[#This Row],[Actual_Cost_ZAR]]),ISBLANK(Table1[[#This Row],[Budget_ZAR]])),0,Table1[[#This Row],[Actual_Cost_ZAR]]-Table1[[#This Row],[Budget_ZAR]])</f>
        <v>893593.00000000047</v>
      </c>
      <c r="AB8" s="9">
        <f>IF(OR(Table1[[#This Row],[Cost_Variance]]="",Table1[[#This Row],[Budget_ZAR]]=""),0,Table1[[#This Row],[Cost_Variance]]/Table1[[#This Row],[Budget_ZAR]])</f>
        <v>0.22891144245556244</v>
      </c>
      <c r="AC8" t="str">
        <f>IF(Table1[[#This Row],[Last_Updated]] = "","Missing Date",IF(Table1[[#This Row],[Last_Updated]]=_xlfn.MAXIFS(Table1[Last_Updated],Table1[Project_ID],Table1[[#This Row],[Project_ID]]),"Latest","Older"))</f>
        <v>Older</v>
      </c>
      <c r="AD8">
        <f>COUNTIFS(Table1[Project_ID],Table1[[#This Row],[Project_ID]],Table1[Last_Updated],"&gt;0")</f>
        <v>7</v>
      </c>
      <c r="AE8">
        <f>COUNTIFS(Table1[Project_ID],Table1[[#This Row],[Project_ID]],Table1[Latest_Record_Flag],"Latest")</f>
        <v>1</v>
      </c>
      <c r="AF8" t="str">
        <f>IF(Table1[[#This Row],[Latest_Count]]&gt;1,"Potential Duplicate -Review","Unique")</f>
        <v>Unique</v>
      </c>
      <c r="AG8" t="str">
        <f>IF(Table1[[#This Row],[Latest_Record_Flag]]&lt;&gt;"Latest","",IF(Table1[[#This Row],[Latest_Count]]&gt;1,"Review - Tied Latest Date", "OK"))</f>
        <v/>
      </c>
    </row>
    <row r="9" spans="1:33" x14ac:dyDescent="0.25">
      <c r="A9" s="2" t="s">
        <v>62</v>
      </c>
      <c r="B9" s="2" t="s">
        <v>63</v>
      </c>
      <c r="C9" s="2" t="s">
        <v>64</v>
      </c>
      <c r="D9" s="2" t="s">
        <v>58</v>
      </c>
      <c r="E9" s="2" t="s">
        <v>43</v>
      </c>
      <c r="F9" s="2" t="s">
        <v>30</v>
      </c>
      <c r="G9" s="2" t="s">
        <v>60</v>
      </c>
      <c r="H9" s="2" t="s">
        <v>65</v>
      </c>
      <c r="I9" s="5">
        <v>45874</v>
      </c>
      <c r="J9" s="2">
        <v>172</v>
      </c>
      <c r="K9" s="2">
        <v>161</v>
      </c>
      <c r="L9" s="14">
        <v>2654795.7000000002</v>
      </c>
      <c r="M9" s="14" t="str">
        <f>IF(Table1[[#This Row],[Budget_ZAR]]="", "Missing", "Present")</f>
        <v>Present</v>
      </c>
      <c r="N9" s="14">
        <v>2861721.66</v>
      </c>
      <c r="O9" s="14" t="str">
        <f>IF(Table1[[#This Row],[Actual_Cost_ZAR]]="","Missing","Present")</f>
        <v>Present</v>
      </c>
      <c r="P9"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9" s="2">
        <v>100</v>
      </c>
      <c r="R9" s="2" t="s">
        <v>54</v>
      </c>
      <c r="S9" s="2" t="str" cm="1">
        <f t="array" ref="S9">IF(Table1[[#This Row],[Progress_Percent]]="unknown","Unknown",_xlfn.IFS(Table1[[#This Row],[Progress_Percent]]&lt;=10,"Planning",Table1[[#This Row],[Progress_Percent]]&lt;100, "In Progress",Table1[[#This Row],[Progress_Percent]]=100,"Completed"))</f>
        <v>Completed</v>
      </c>
      <c r="T9" s="2" t="str">
        <f>IF(Table1[[#This Row],[Progress_Percent]]="unknown","Unknown",IF(Table1[[#This Row],[Project_Status]]="On Hold","Review",IF(Table1[[#This Row],[Project_Status]]=Table1[[#This Row],[Project_Expected_Status]],"OK","Mismatch")))</f>
        <v>OK</v>
      </c>
      <c r="U9" s="5">
        <v>45986</v>
      </c>
      <c r="V9">
        <f>Table1[[#This Row],[Actual_Duration_Days]]-Table1[[#This Row],[Planned_Duration_Days]]</f>
        <v>-11</v>
      </c>
      <c r="W9" t="str" cm="1">
        <f t="array" ref="W9">_xlfn.IFS(Table1[[#This Row],[Schedule_Variance]]&gt;0,"Behind Schedule",Table1[[#This Row],[Schedule_Variance]]&lt;0,"Ahead of Schedule",Table1[[#This Row],[Schedule_Variance]]=0,"On Schedule")</f>
        <v>Ahead of Schedule</v>
      </c>
      <c r="X9" s="26">
        <f>IF(OR(ISBLANK(Table1[[#This Row],[Actual_Cost_ZAR]])),"",Table1[[#This Row],[Actual_Cost_ZAR]]-Table1[[#This Row],[Budget_ZAR]])</f>
        <v>206925.95999999996</v>
      </c>
      <c r="Y9" s="9">
        <f>IF(OR(Table1[[#This Row],[Cost_Variance]]="",Table1[[#This Row],[Budget_ZAR]]=""),"",Table1[[#This Row],[Cost_Variance]]/Table1[[#This Row],[Budget_ZAR]])</f>
        <v>7.7944212430357609E-2</v>
      </c>
      <c r="Z9" t="str">
        <f>IF(OR(Table1[[#This Row],[Budget_ZAR]]="",Table1[[#This Row],[Actual_Cost_ZAR]]=""),"Missing Data",IF(Table1[[#This Row],[Cost_Variance]]&lt;0,"Under Budget",IF(Table1[[#This Row],[Cost_Variance]]=0,"On Budget","Over Budget")))</f>
        <v>Over Budget</v>
      </c>
      <c r="AA9" s="26">
        <f>IF(OR(ISBLANK(Table1[[#This Row],[Actual_Cost_ZAR]]),ISBLANK(Table1[[#This Row],[Budget_ZAR]])),0,Table1[[#This Row],[Actual_Cost_ZAR]]-Table1[[#This Row],[Budget_ZAR]])</f>
        <v>206925.95999999996</v>
      </c>
      <c r="AB9" s="9">
        <f>IF(OR(Table1[[#This Row],[Cost_Variance]]="",Table1[[#This Row],[Budget_ZAR]]=""),0,Table1[[#This Row],[Cost_Variance]]/Table1[[#This Row],[Budget_ZAR]])</f>
        <v>7.7944212430357609E-2</v>
      </c>
      <c r="AC9" t="str">
        <f>IF(Table1[[#This Row],[Last_Updated]] = "","Missing Date",IF(Table1[[#This Row],[Last_Updated]]=_xlfn.MAXIFS(Table1[Last_Updated],Table1[Project_ID],Table1[[#This Row],[Project_ID]]),"Latest","Older"))</f>
        <v>Latest</v>
      </c>
      <c r="AD9">
        <f>COUNTIFS(Table1[Project_ID],Table1[[#This Row],[Project_ID]],Table1[Last_Updated],"&gt;0")</f>
        <v>4</v>
      </c>
      <c r="AE9">
        <f>COUNTIFS(Table1[Project_ID],Table1[[#This Row],[Project_ID]],Table1[Latest_Record_Flag],"Latest")</f>
        <v>1</v>
      </c>
      <c r="AF9" t="str">
        <f>IF(Table1[[#This Row],[Latest_Count]]&gt;1,"Potential Duplicate -Review","Unique")</f>
        <v>Unique</v>
      </c>
      <c r="AG9" t="str">
        <f>IF(Table1[[#This Row],[Latest_Record_Flag]]&lt;&gt;"Latest","",IF(Table1[[#This Row],[Latest_Count]]&gt;1,"Review - Tied Latest Date", "OK"))</f>
        <v>OK</v>
      </c>
    </row>
    <row r="10" spans="1:33" x14ac:dyDescent="0.25">
      <c r="A10" s="2" t="s">
        <v>66</v>
      </c>
      <c r="B10" s="2" t="s">
        <v>63</v>
      </c>
      <c r="C10" s="2" t="s">
        <v>67</v>
      </c>
      <c r="D10" s="2" t="s">
        <v>58</v>
      </c>
      <c r="E10" s="2" t="s">
        <v>68</v>
      </c>
      <c r="F10" s="2" t="s">
        <v>21</v>
      </c>
      <c r="G10" s="2" t="s">
        <v>22</v>
      </c>
      <c r="H10" s="2" t="s">
        <v>65</v>
      </c>
      <c r="I10" s="5">
        <v>45890</v>
      </c>
      <c r="J10" s="2">
        <v>20</v>
      </c>
      <c r="K10" s="2">
        <v>51</v>
      </c>
      <c r="L10" s="14">
        <v>5724080.8799999999</v>
      </c>
      <c r="M10" s="14" t="str">
        <f>IF(Table1[[#This Row],[Budget_ZAR]]="", "Missing", "Present")</f>
        <v>Present</v>
      </c>
      <c r="N10" s="14">
        <v>5218613.2</v>
      </c>
      <c r="O10" s="14" t="str">
        <f>IF(Table1[[#This Row],[Actual_Cost_ZAR]]="","Missing","Present")</f>
        <v>Present</v>
      </c>
      <c r="P10"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10" s="2"/>
      <c r="R10" s="2" t="s">
        <v>49</v>
      </c>
      <c r="S10" s="2" t="str" cm="1">
        <f t="array" ref="S10">IF(Table1[[#This Row],[Progress_Percent]]="unknown","Unknown",_xlfn.IFS(Table1[[#This Row],[Progress_Percent]]&lt;=10,"Planning",Table1[[#This Row],[Progress_Percent]]&lt;100, "In Progress",Table1[[#This Row],[Progress_Percent]]=100,"Completed"))</f>
        <v>Planning</v>
      </c>
      <c r="T10" s="2" t="str">
        <f>IF(Table1[[#This Row],[Progress_Percent]]="unknown","Unknown",IF(Table1[[#This Row],[Project_Status]]="On Hold","Review",IF(Table1[[#This Row],[Project_Status]]=Table1[[#This Row],[Project_Expected_Status]],"OK","Mismatch")))</f>
        <v>Mismatch</v>
      </c>
      <c r="U10" s="5">
        <v>45932</v>
      </c>
      <c r="V10">
        <f>Table1[[#This Row],[Actual_Duration_Days]]-Table1[[#This Row],[Planned_Duration_Days]]</f>
        <v>31</v>
      </c>
      <c r="W10" t="str" cm="1">
        <f t="array" ref="W10">_xlfn.IFS(Table1[[#This Row],[Schedule_Variance]]&gt;0,"Behind Schedule",Table1[[#This Row],[Schedule_Variance]]&lt;0,"Ahead of Schedule",Table1[[#This Row],[Schedule_Variance]]=0,"On Schedule")</f>
        <v>Behind Schedule</v>
      </c>
      <c r="X10" s="26">
        <f>IF(OR(ISBLANK(Table1[[#This Row],[Actual_Cost_ZAR]])),"",Table1[[#This Row],[Actual_Cost_ZAR]]-Table1[[#This Row],[Budget_ZAR]])</f>
        <v>-505467.6799999997</v>
      </c>
      <c r="Y10" s="9">
        <f>IF(OR(Table1[[#This Row],[Cost_Variance]]="",Table1[[#This Row],[Budget_ZAR]]=""),"",Table1[[#This Row],[Cost_Variance]]/Table1[[#This Row],[Budget_ZAR]])</f>
        <v>-8.8305474817120283E-2</v>
      </c>
      <c r="Z10" t="str">
        <f>IF(OR(Table1[[#This Row],[Budget_ZAR]]="",Table1[[#This Row],[Actual_Cost_ZAR]]=""),"Missing Data",IF(Table1[[#This Row],[Cost_Variance]]&lt;0,"Under Budget",IF(Table1[[#This Row],[Cost_Variance]]=0,"On Budget","Over Budget")))</f>
        <v>Under Budget</v>
      </c>
      <c r="AA10" s="26">
        <f>IF(OR(ISBLANK(Table1[[#This Row],[Actual_Cost_ZAR]]),ISBLANK(Table1[[#This Row],[Budget_ZAR]])),0,Table1[[#This Row],[Actual_Cost_ZAR]]-Table1[[#This Row],[Budget_ZAR]])</f>
        <v>-505467.6799999997</v>
      </c>
      <c r="AB10" s="9">
        <f>IF(OR(Table1[[#This Row],[Cost_Variance]]="",Table1[[#This Row],[Budget_ZAR]]=""),0,Table1[[#This Row],[Cost_Variance]]/Table1[[#This Row],[Budget_ZAR]])</f>
        <v>-8.8305474817120283E-2</v>
      </c>
      <c r="AC10" t="str">
        <f>IF(Table1[[#This Row],[Last_Updated]] = "","Missing Date",IF(Table1[[#This Row],[Last_Updated]]=_xlfn.MAXIFS(Table1[Last_Updated],Table1[Project_ID],Table1[[#This Row],[Project_ID]]),"Latest","Older"))</f>
        <v>Older</v>
      </c>
      <c r="AD10">
        <f>COUNTIFS(Table1[Project_ID],Table1[[#This Row],[Project_ID]],Table1[Last_Updated],"&gt;0")</f>
        <v>4</v>
      </c>
      <c r="AE10">
        <f>COUNTIFS(Table1[Project_ID],Table1[[#This Row],[Project_ID]],Table1[Latest_Record_Flag],"Latest")</f>
        <v>1</v>
      </c>
      <c r="AF10" t="str">
        <f>IF(Table1[[#This Row],[Latest_Count]]&gt;1,"Potential Duplicate -Review","Unique")</f>
        <v>Unique</v>
      </c>
      <c r="AG10" t="str">
        <f>IF(Table1[[#This Row],[Latest_Record_Flag]]&lt;&gt;"Latest","",IF(Table1[[#This Row],[Latest_Count]]&gt;1,"Review - Tied Latest Date", "OK"))</f>
        <v/>
      </c>
    </row>
    <row r="11" spans="1:33" x14ac:dyDescent="0.25">
      <c r="A11" s="2" t="s">
        <v>70</v>
      </c>
      <c r="B11" s="2" t="s">
        <v>56</v>
      </c>
      <c r="C11" s="2" t="s">
        <v>71</v>
      </c>
      <c r="D11" s="2" t="s">
        <v>28</v>
      </c>
      <c r="E11" s="2" t="s">
        <v>68</v>
      </c>
      <c r="F11" s="2" t="s">
        <v>59</v>
      </c>
      <c r="G11" s="2" t="s">
        <v>60</v>
      </c>
      <c r="H11" s="2" t="s">
        <v>38</v>
      </c>
      <c r="I11" s="5">
        <v>45929</v>
      </c>
      <c r="J11" s="2">
        <v>20</v>
      </c>
      <c r="K11" s="2">
        <v>43</v>
      </c>
      <c r="L11" s="14">
        <v>2275975.36</v>
      </c>
      <c r="M11" s="14" t="str">
        <f>IF(Table1[[#This Row],[Budget_ZAR]]="", "Missing", "Present")</f>
        <v>Present</v>
      </c>
      <c r="N11" s="14">
        <v>1797425.07</v>
      </c>
      <c r="O11" s="14" t="str">
        <f>IF(Table1[[#This Row],[Actual_Cost_ZAR]]="","Missing","Present")</f>
        <v>Present</v>
      </c>
      <c r="P11"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11" s="2">
        <v>70</v>
      </c>
      <c r="R11" s="2" t="s">
        <v>54</v>
      </c>
      <c r="S11" s="2" t="str" cm="1">
        <f t="array" ref="S11">IF(Table1[[#This Row],[Progress_Percent]]="unknown","Unknown",_xlfn.IFS(Table1[[#This Row],[Progress_Percent]]&lt;=10,"Planning",Table1[[#This Row],[Progress_Percent]]&lt;100, "In Progress",Table1[[#This Row],[Progress_Percent]]=100,"Completed"))</f>
        <v>In Progress</v>
      </c>
      <c r="T11" s="2" t="str">
        <f>IF(Table1[[#This Row],[Progress_Percent]]="unknown","Unknown",IF(Table1[[#This Row],[Project_Status]]="On Hold","Review",IF(Table1[[#This Row],[Project_Status]]=Table1[[#This Row],[Project_Expected_Status]],"OK","Mismatch")))</f>
        <v>Mismatch</v>
      </c>
      <c r="U11" s="5">
        <v>46054</v>
      </c>
      <c r="V11">
        <f>Table1[[#This Row],[Actual_Duration_Days]]-Table1[[#This Row],[Planned_Duration_Days]]</f>
        <v>23</v>
      </c>
      <c r="W11" t="str" cm="1">
        <f t="array" ref="W11">_xlfn.IFS(Table1[[#This Row],[Schedule_Variance]]&gt;0,"Behind Schedule",Table1[[#This Row],[Schedule_Variance]]&lt;0,"Ahead of Schedule",Table1[[#This Row],[Schedule_Variance]]=0,"On Schedule")</f>
        <v>Behind Schedule</v>
      </c>
      <c r="X11" s="26">
        <f>IF(OR(ISBLANK(Table1[[#This Row],[Actual_Cost_ZAR]])),"",Table1[[#This Row],[Actual_Cost_ZAR]]-Table1[[#This Row],[Budget_ZAR]])</f>
        <v>-478550.2899999998</v>
      </c>
      <c r="Y11" s="9">
        <f>IF(OR(Table1[[#This Row],[Cost_Variance]]="",Table1[[#This Row],[Budget_ZAR]]=""),"",Table1[[#This Row],[Cost_Variance]]/Table1[[#This Row],[Budget_ZAR]])</f>
        <v>-0.2102616304246808</v>
      </c>
      <c r="Z11" t="str">
        <f>IF(OR(Table1[[#This Row],[Budget_ZAR]]="",Table1[[#This Row],[Actual_Cost_ZAR]]=""),"Missing Data",IF(Table1[[#This Row],[Cost_Variance]]&lt;0,"Under Budget",IF(Table1[[#This Row],[Cost_Variance]]=0,"On Budget","Over Budget")))</f>
        <v>Under Budget</v>
      </c>
      <c r="AA11" s="26">
        <f>IF(OR(ISBLANK(Table1[[#This Row],[Actual_Cost_ZAR]]),ISBLANK(Table1[[#This Row],[Budget_ZAR]])),0,Table1[[#This Row],[Actual_Cost_ZAR]]-Table1[[#This Row],[Budget_ZAR]])</f>
        <v>-478550.2899999998</v>
      </c>
      <c r="AB11" s="9">
        <f>IF(OR(Table1[[#This Row],[Cost_Variance]]="",Table1[[#This Row],[Budget_ZAR]]=""),0,Table1[[#This Row],[Cost_Variance]]/Table1[[#This Row],[Budget_ZAR]])</f>
        <v>-0.2102616304246808</v>
      </c>
      <c r="AC11" t="str">
        <f>IF(Table1[[#This Row],[Last_Updated]] = "","Missing Date",IF(Table1[[#This Row],[Last_Updated]]=_xlfn.MAXIFS(Table1[Last_Updated],Table1[Project_ID],Table1[[#This Row],[Project_ID]]),"Latest","Older"))</f>
        <v>Latest</v>
      </c>
      <c r="AD11">
        <f>COUNTIFS(Table1[Project_ID],Table1[[#This Row],[Project_ID]],Table1[Last_Updated],"&gt;0")</f>
        <v>7</v>
      </c>
      <c r="AE11">
        <f>COUNTIFS(Table1[Project_ID],Table1[[#This Row],[Project_ID]],Table1[Latest_Record_Flag],"Latest")</f>
        <v>1</v>
      </c>
      <c r="AF11" t="str">
        <f>IF(Table1[[#This Row],[Latest_Count]]&gt;1,"Potential Duplicate -Review","Unique")</f>
        <v>Unique</v>
      </c>
      <c r="AG11" t="str">
        <f>IF(Table1[[#This Row],[Latest_Record_Flag]]&lt;&gt;"Latest","",IF(Table1[[#This Row],[Latest_Count]]&gt;1,"Review - Tied Latest Date", "OK"))</f>
        <v>OK</v>
      </c>
    </row>
    <row r="12" spans="1:33" x14ac:dyDescent="0.25">
      <c r="A12" s="2" t="s">
        <v>72</v>
      </c>
      <c r="B12" s="2" t="s">
        <v>73</v>
      </c>
      <c r="C12" s="2" t="s">
        <v>74</v>
      </c>
      <c r="D12" s="2" t="s">
        <v>58</v>
      </c>
      <c r="E12" s="2" t="s">
        <v>20</v>
      </c>
      <c r="F12" s="2" t="s">
        <v>30</v>
      </c>
      <c r="G12" s="2" t="s">
        <v>76</v>
      </c>
      <c r="H12" s="2" t="s">
        <v>38</v>
      </c>
      <c r="I12" s="5">
        <v>45930</v>
      </c>
      <c r="J12" s="2">
        <v>52</v>
      </c>
      <c r="K12" s="2">
        <v>45</v>
      </c>
      <c r="L12" s="14">
        <v>4373442.6399999997</v>
      </c>
      <c r="M12" s="14" t="str">
        <f>IF(Table1[[#This Row],[Budget_ZAR]]="", "Missing", "Present")</f>
        <v>Present</v>
      </c>
      <c r="N12" s="14">
        <v>5481779.4500000002</v>
      </c>
      <c r="O12" s="14" t="str">
        <f>IF(Table1[[#This Row],[Actual_Cost_ZAR]]="","Missing","Present")</f>
        <v>Present</v>
      </c>
      <c r="P12"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12" s="2"/>
      <c r="R12" s="2" t="s">
        <v>54</v>
      </c>
      <c r="S12" s="2" t="str" cm="1">
        <f t="array" ref="S12">IF(Table1[[#This Row],[Progress_Percent]]="unknown","Unknown",_xlfn.IFS(Table1[[#This Row],[Progress_Percent]]&lt;=10,"Planning",Table1[[#This Row],[Progress_Percent]]&lt;100, "In Progress",Table1[[#This Row],[Progress_Percent]]=100,"Completed"))</f>
        <v>Planning</v>
      </c>
      <c r="T12" s="2" t="str">
        <f>IF(Table1[[#This Row],[Progress_Percent]]="unknown","Unknown",IF(Table1[[#This Row],[Project_Status]]="On Hold","Review",IF(Table1[[#This Row],[Project_Status]]=Table1[[#This Row],[Project_Expected_Status]],"OK","Mismatch")))</f>
        <v>Mismatch</v>
      </c>
      <c r="U12" s="5">
        <v>46097</v>
      </c>
      <c r="V12">
        <f>Table1[[#This Row],[Actual_Duration_Days]]-Table1[[#This Row],[Planned_Duration_Days]]</f>
        <v>-7</v>
      </c>
      <c r="W12" t="str" cm="1">
        <f t="array" ref="W12">_xlfn.IFS(Table1[[#This Row],[Schedule_Variance]]&gt;0,"Behind Schedule",Table1[[#This Row],[Schedule_Variance]]&lt;0,"Ahead of Schedule",Table1[[#This Row],[Schedule_Variance]]=0,"On Schedule")</f>
        <v>Ahead of Schedule</v>
      </c>
      <c r="X12" s="26">
        <f>IF(OR(ISBLANK(Table1[[#This Row],[Actual_Cost_ZAR]])),"",Table1[[#This Row],[Actual_Cost_ZAR]]-Table1[[#This Row],[Budget_ZAR]])</f>
        <v>1108336.8100000005</v>
      </c>
      <c r="Y12" s="9">
        <f>IF(OR(Table1[[#This Row],[Cost_Variance]]="",Table1[[#This Row],[Budget_ZAR]]=""),"",Table1[[#This Row],[Cost_Variance]]/Table1[[#This Row],[Budget_ZAR]])</f>
        <v>0.25342433895508931</v>
      </c>
      <c r="Z12" t="str">
        <f>IF(OR(Table1[[#This Row],[Budget_ZAR]]="",Table1[[#This Row],[Actual_Cost_ZAR]]=""),"Missing Data",IF(Table1[[#This Row],[Cost_Variance]]&lt;0,"Under Budget",IF(Table1[[#This Row],[Cost_Variance]]=0,"On Budget","Over Budget")))</f>
        <v>Over Budget</v>
      </c>
      <c r="AA12" s="26">
        <f>IF(OR(ISBLANK(Table1[[#This Row],[Actual_Cost_ZAR]]),ISBLANK(Table1[[#This Row],[Budget_ZAR]])),0,Table1[[#This Row],[Actual_Cost_ZAR]]-Table1[[#This Row],[Budget_ZAR]])</f>
        <v>1108336.8100000005</v>
      </c>
      <c r="AB12" s="9">
        <f>IF(OR(Table1[[#This Row],[Cost_Variance]]="",Table1[[#This Row],[Budget_ZAR]]=""),0,Table1[[#This Row],[Cost_Variance]]/Table1[[#This Row],[Budget_ZAR]])</f>
        <v>0.25342433895508931</v>
      </c>
      <c r="AC12" t="str">
        <f>IF(Table1[[#This Row],[Last_Updated]] = "","Missing Date",IF(Table1[[#This Row],[Last_Updated]]=_xlfn.MAXIFS(Table1[Last_Updated],Table1[Project_ID],Table1[[#This Row],[Project_ID]]),"Latest","Older"))</f>
        <v>Latest</v>
      </c>
      <c r="AD12">
        <f>COUNTIFS(Table1[Project_ID],Table1[[#This Row],[Project_ID]],Table1[Last_Updated],"&gt;0")</f>
        <v>4</v>
      </c>
      <c r="AE12">
        <f>COUNTIFS(Table1[Project_ID],Table1[[#This Row],[Project_ID]],Table1[Latest_Record_Flag],"Latest")</f>
        <v>1</v>
      </c>
      <c r="AF12" t="str">
        <f>IF(Table1[[#This Row],[Latest_Count]]&gt;1,"Potential Duplicate -Review","Unique")</f>
        <v>Unique</v>
      </c>
      <c r="AG12" t="str">
        <f>IF(Table1[[#This Row],[Latest_Record_Flag]]&lt;&gt;"Latest","",IF(Table1[[#This Row],[Latest_Count]]&gt;1,"Review - Tied Latest Date", "OK"))</f>
        <v>OK</v>
      </c>
    </row>
    <row r="13" spans="1:33" x14ac:dyDescent="0.25">
      <c r="A13" s="2" t="s">
        <v>78</v>
      </c>
      <c r="B13" s="2" t="s">
        <v>41</v>
      </c>
      <c r="C13" s="2" t="s">
        <v>79</v>
      </c>
      <c r="D13" s="2" t="s">
        <v>19</v>
      </c>
      <c r="E13" s="2" t="s">
        <v>20</v>
      </c>
      <c r="F13" s="2" t="s">
        <v>59</v>
      </c>
      <c r="G13" s="2" t="s">
        <v>22</v>
      </c>
      <c r="H13" s="2" t="s">
        <v>61</v>
      </c>
      <c r="I13" s="5">
        <v>45882</v>
      </c>
      <c r="J13" s="2">
        <v>152</v>
      </c>
      <c r="K13" s="2">
        <v>165</v>
      </c>
      <c r="L13" s="14">
        <v>1006276.22</v>
      </c>
      <c r="M13" s="14" t="str">
        <f>IF(Table1[[#This Row],[Budget_ZAR]]="", "Missing", "Present")</f>
        <v>Present</v>
      </c>
      <c r="N13" s="14">
        <v>897949.25</v>
      </c>
      <c r="O13" s="14" t="str">
        <f>IF(Table1[[#This Row],[Actual_Cost_ZAR]]="","Missing","Present")</f>
        <v>Present</v>
      </c>
      <c r="P13"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13" s="2">
        <v>70</v>
      </c>
      <c r="R13" s="2" t="s">
        <v>24</v>
      </c>
      <c r="S13" s="2" t="str" cm="1">
        <f t="array" ref="S13">IF(Table1[[#This Row],[Progress_Percent]]="unknown","Unknown",_xlfn.IFS(Table1[[#This Row],[Progress_Percent]]&lt;=10,"Planning",Table1[[#This Row],[Progress_Percent]]&lt;100, "In Progress",Table1[[#This Row],[Progress_Percent]]=100,"Completed"))</f>
        <v>In Progress</v>
      </c>
      <c r="T13" s="2" t="str">
        <f>IF(Table1[[#This Row],[Progress_Percent]]="unknown","Unknown",IF(Table1[[#This Row],[Project_Status]]="On Hold","Review",IF(Table1[[#This Row],[Project_Status]]=Table1[[#This Row],[Project_Expected_Status]],"OK","Mismatch")))</f>
        <v>Mismatch</v>
      </c>
      <c r="U13" s="5">
        <v>45891</v>
      </c>
      <c r="V13">
        <f>Table1[[#This Row],[Actual_Duration_Days]]-Table1[[#This Row],[Planned_Duration_Days]]</f>
        <v>13</v>
      </c>
      <c r="W13" t="str" cm="1">
        <f t="array" ref="W13">_xlfn.IFS(Table1[[#This Row],[Schedule_Variance]]&gt;0,"Behind Schedule",Table1[[#This Row],[Schedule_Variance]]&lt;0,"Ahead of Schedule",Table1[[#This Row],[Schedule_Variance]]=0,"On Schedule")</f>
        <v>Behind Schedule</v>
      </c>
      <c r="X13" s="26">
        <f>IF(OR(ISBLANK(Table1[[#This Row],[Actual_Cost_ZAR]])),"",Table1[[#This Row],[Actual_Cost_ZAR]]-Table1[[#This Row],[Budget_ZAR]])</f>
        <v>-108326.96999999997</v>
      </c>
      <c r="Y13" s="9">
        <f>IF(OR(Table1[[#This Row],[Cost_Variance]]="",Table1[[#This Row],[Budget_ZAR]]=""),"",Table1[[#This Row],[Cost_Variance]]/Table1[[#This Row],[Budget_ZAR]])</f>
        <v>-0.10765132659102286</v>
      </c>
      <c r="Z13" t="str">
        <f>IF(OR(Table1[[#This Row],[Budget_ZAR]]="",Table1[[#This Row],[Actual_Cost_ZAR]]=""),"Missing Data",IF(Table1[[#This Row],[Cost_Variance]]&lt;0,"Under Budget",IF(Table1[[#This Row],[Cost_Variance]]=0,"On Budget","Over Budget")))</f>
        <v>Under Budget</v>
      </c>
      <c r="AA13" s="26">
        <f>IF(OR(ISBLANK(Table1[[#This Row],[Actual_Cost_ZAR]]),ISBLANK(Table1[[#This Row],[Budget_ZAR]])),0,Table1[[#This Row],[Actual_Cost_ZAR]]-Table1[[#This Row],[Budget_ZAR]])</f>
        <v>-108326.96999999997</v>
      </c>
      <c r="AB13" s="9">
        <f>IF(OR(Table1[[#This Row],[Cost_Variance]]="",Table1[[#This Row],[Budget_ZAR]]=""),0,Table1[[#This Row],[Cost_Variance]]/Table1[[#This Row],[Budget_ZAR]])</f>
        <v>-0.10765132659102286</v>
      </c>
      <c r="AC13" t="str">
        <f>IF(Table1[[#This Row],[Last_Updated]] = "","Missing Date",IF(Table1[[#This Row],[Last_Updated]]=_xlfn.MAXIFS(Table1[Last_Updated],Table1[Project_ID],Table1[[#This Row],[Project_ID]]),"Latest","Older"))</f>
        <v>Older</v>
      </c>
      <c r="AD13">
        <f>COUNTIFS(Table1[Project_ID],Table1[[#This Row],[Project_ID]],Table1[Last_Updated],"&gt;0")</f>
        <v>4</v>
      </c>
      <c r="AE13">
        <f>COUNTIFS(Table1[Project_ID],Table1[[#This Row],[Project_ID]],Table1[Latest_Record_Flag],"Latest")</f>
        <v>1</v>
      </c>
      <c r="AF13" t="str">
        <f>IF(Table1[[#This Row],[Latest_Count]]&gt;1,"Potential Duplicate -Review","Unique")</f>
        <v>Unique</v>
      </c>
      <c r="AG13" t="str">
        <f>IF(Table1[[#This Row],[Latest_Record_Flag]]&lt;&gt;"Latest","",IF(Table1[[#This Row],[Latest_Count]]&gt;1,"Review - Tied Latest Date", "OK"))</f>
        <v/>
      </c>
    </row>
    <row r="14" spans="1:33" x14ac:dyDescent="0.25">
      <c r="A14" s="2" t="s">
        <v>80</v>
      </c>
      <c r="B14" s="2" t="s">
        <v>35</v>
      </c>
      <c r="C14" s="2" t="s">
        <v>81</v>
      </c>
      <c r="D14" s="2" t="s">
        <v>37</v>
      </c>
      <c r="E14" s="2" t="s">
        <v>29</v>
      </c>
      <c r="F14" s="2" t="s">
        <v>21</v>
      </c>
      <c r="G14" s="2" t="s">
        <v>60</v>
      </c>
      <c r="H14" s="2" t="s">
        <v>61</v>
      </c>
      <c r="I14" s="5">
        <v>45694</v>
      </c>
      <c r="J14" s="2">
        <v>151</v>
      </c>
      <c r="K14" s="2">
        <v>151</v>
      </c>
      <c r="L14" s="14">
        <v>1990482.9</v>
      </c>
      <c r="M14" s="14" t="str">
        <f>IF(Table1[[#This Row],[Budget_ZAR]]="", "Missing", "Present")</f>
        <v>Present</v>
      </c>
      <c r="N14" s="14">
        <v>2035681.29</v>
      </c>
      <c r="O14" s="14" t="str">
        <f>IF(Table1[[#This Row],[Actual_Cost_ZAR]]="","Missing","Present")</f>
        <v>Present</v>
      </c>
      <c r="P14"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14" s="2"/>
      <c r="R14" s="2" t="s">
        <v>33</v>
      </c>
      <c r="S14" s="2" t="str" cm="1">
        <f t="array" ref="S14">IF(Table1[[#This Row],[Progress_Percent]]="unknown","Unknown",_xlfn.IFS(Table1[[#This Row],[Progress_Percent]]&lt;=10,"Planning",Table1[[#This Row],[Progress_Percent]]&lt;100, "In Progress",Table1[[#This Row],[Progress_Percent]]=100,"Completed"))</f>
        <v>Planning</v>
      </c>
      <c r="T14" s="2" t="str">
        <f>IF(Table1[[#This Row],[Progress_Percent]]="unknown","Unknown",IF(Table1[[#This Row],[Project_Status]]="On Hold","Review",IF(Table1[[#This Row],[Project_Status]]=Table1[[#This Row],[Project_Expected_Status]],"OK","Mismatch")))</f>
        <v>Review</v>
      </c>
      <c r="U14" s="5">
        <v>45863</v>
      </c>
      <c r="V14">
        <f>Table1[[#This Row],[Actual_Duration_Days]]-Table1[[#This Row],[Planned_Duration_Days]]</f>
        <v>0</v>
      </c>
      <c r="W14" t="str" cm="1">
        <f t="array" ref="W14">_xlfn.IFS(Table1[[#This Row],[Schedule_Variance]]&gt;0,"Behind Schedule",Table1[[#This Row],[Schedule_Variance]]&lt;0,"Ahead of Schedule",Table1[[#This Row],[Schedule_Variance]]=0,"On Schedule")</f>
        <v>On Schedule</v>
      </c>
      <c r="X14" s="26">
        <f>IF(OR(ISBLANK(Table1[[#This Row],[Actual_Cost_ZAR]])),"",Table1[[#This Row],[Actual_Cost_ZAR]]-Table1[[#This Row],[Budget_ZAR]])</f>
        <v>45198.39000000013</v>
      </c>
      <c r="Y14" s="9">
        <f>IF(OR(Table1[[#This Row],[Cost_Variance]]="",Table1[[#This Row],[Budget_ZAR]]=""),"",Table1[[#This Row],[Cost_Variance]]/Table1[[#This Row],[Budget_ZAR]])</f>
        <v>2.2707248577719573E-2</v>
      </c>
      <c r="Z14" t="str">
        <f>IF(OR(Table1[[#This Row],[Budget_ZAR]]="",Table1[[#This Row],[Actual_Cost_ZAR]]=""),"Missing Data",IF(Table1[[#This Row],[Cost_Variance]]&lt;0,"Under Budget",IF(Table1[[#This Row],[Cost_Variance]]=0,"On Budget","Over Budget")))</f>
        <v>Over Budget</v>
      </c>
      <c r="AA14" s="26">
        <f>IF(OR(ISBLANK(Table1[[#This Row],[Actual_Cost_ZAR]]),ISBLANK(Table1[[#This Row],[Budget_ZAR]])),0,Table1[[#This Row],[Actual_Cost_ZAR]]-Table1[[#This Row],[Budget_ZAR]])</f>
        <v>45198.39000000013</v>
      </c>
      <c r="AB14" s="9">
        <f>IF(OR(Table1[[#This Row],[Cost_Variance]]="",Table1[[#This Row],[Budget_ZAR]]=""),0,Table1[[#This Row],[Cost_Variance]]/Table1[[#This Row],[Budget_ZAR]])</f>
        <v>2.2707248577719573E-2</v>
      </c>
      <c r="AC14" t="str">
        <f>IF(Table1[[#This Row],[Last_Updated]] = "","Missing Date",IF(Table1[[#This Row],[Last_Updated]]=_xlfn.MAXIFS(Table1[Last_Updated],Table1[Project_ID],Table1[[#This Row],[Project_ID]]),"Latest","Older"))</f>
        <v>Older</v>
      </c>
      <c r="AD14">
        <f>COUNTIFS(Table1[Project_ID],Table1[[#This Row],[Project_ID]],Table1[Last_Updated],"&gt;0")</f>
        <v>6</v>
      </c>
      <c r="AE14">
        <f>COUNTIFS(Table1[Project_ID],Table1[[#This Row],[Project_ID]],Table1[Latest_Record_Flag],"Latest")</f>
        <v>1</v>
      </c>
      <c r="AF14" t="str">
        <f>IF(Table1[[#This Row],[Latest_Count]]&gt;1,"Potential Duplicate -Review","Unique")</f>
        <v>Unique</v>
      </c>
      <c r="AG14" t="str">
        <f>IF(Table1[[#This Row],[Latest_Record_Flag]]&lt;&gt;"Latest","",IF(Table1[[#This Row],[Latest_Count]]&gt;1,"Review - Tied Latest Date", "OK"))</f>
        <v/>
      </c>
    </row>
    <row r="15" spans="1:33" x14ac:dyDescent="0.25">
      <c r="A15" s="2" t="s">
        <v>82</v>
      </c>
      <c r="B15" s="2" t="s">
        <v>83</v>
      </c>
      <c r="C15" s="2" t="s">
        <v>84</v>
      </c>
      <c r="D15" s="2" t="s">
        <v>19</v>
      </c>
      <c r="E15" s="2" t="s">
        <v>85</v>
      </c>
      <c r="F15" s="2" t="s">
        <v>21</v>
      </c>
      <c r="G15" s="2" t="s">
        <v>22</v>
      </c>
      <c r="H15" s="2" t="s">
        <v>23</v>
      </c>
      <c r="I15" s="5">
        <v>45839</v>
      </c>
      <c r="J15" s="2">
        <v>128</v>
      </c>
      <c r="K15" s="2">
        <v>139</v>
      </c>
      <c r="L15" s="14">
        <v>3168904.18</v>
      </c>
      <c r="M15" s="14" t="str">
        <f>IF(Table1[[#This Row],[Budget_ZAR]]="", "Missing", "Present")</f>
        <v>Present</v>
      </c>
      <c r="N15" s="14">
        <v>3626931.01</v>
      </c>
      <c r="O15" s="14" t="str">
        <f>IF(Table1[[#This Row],[Actual_Cost_ZAR]]="","Missing","Present")</f>
        <v>Present</v>
      </c>
      <c r="P15"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15" s="2">
        <v>10</v>
      </c>
      <c r="R15" s="2" t="s">
        <v>24</v>
      </c>
      <c r="S15" s="2" t="str" cm="1">
        <f t="array" ref="S15">IF(Table1[[#This Row],[Progress_Percent]]="unknown","Unknown",_xlfn.IFS(Table1[[#This Row],[Progress_Percent]]&lt;=10,"Planning",Table1[[#This Row],[Progress_Percent]]&lt;100, "In Progress",Table1[[#This Row],[Progress_Percent]]=100,"Completed"))</f>
        <v>Planning</v>
      </c>
      <c r="T15" s="2" t="str">
        <f>IF(Table1[[#This Row],[Progress_Percent]]="unknown","Unknown",IF(Table1[[#This Row],[Project_Status]]="On Hold","Review",IF(Table1[[#This Row],[Project_Status]]=Table1[[#This Row],[Project_Expected_Status]],"OK","Mismatch")))</f>
        <v>OK</v>
      </c>
      <c r="U15" s="5">
        <v>45954</v>
      </c>
      <c r="V15">
        <f>Table1[[#This Row],[Actual_Duration_Days]]-Table1[[#This Row],[Planned_Duration_Days]]</f>
        <v>11</v>
      </c>
      <c r="W15" t="str" cm="1">
        <f t="array" ref="W15">_xlfn.IFS(Table1[[#This Row],[Schedule_Variance]]&gt;0,"Behind Schedule",Table1[[#This Row],[Schedule_Variance]]&lt;0,"Ahead of Schedule",Table1[[#This Row],[Schedule_Variance]]=0,"On Schedule")</f>
        <v>Behind Schedule</v>
      </c>
      <c r="X15" s="26">
        <f>IF(OR(ISBLANK(Table1[[#This Row],[Actual_Cost_ZAR]])),"",Table1[[#This Row],[Actual_Cost_ZAR]]-Table1[[#This Row],[Budget_ZAR]])</f>
        <v>458026.82999999961</v>
      </c>
      <c r="Y15" s="9">
        <f>IF(OR(Table1[[#This Row],[Cost_Variance]]="",Table1[[#This Row],[Budget_ZAR]]=""),"",Table1[[#This Row],[Cost_Variance]]/Table1[[#This Row],[Budget_ZAR]])</f>
        <v>0.1445379235165134</v>
      </c>
      <c r="Z15" t="str">
        <f>IF(OR(Table1[[#This Row],[Budget_ZAR]]="",Table1[[#This Row],[Actual_Cost_ZAR]]=""),"Missing Data",IF(Table1[[#This Row],[Cost_Variance]]&lt;0,"Under Budget",IF(Table1[[#This Row],[Cost_Variance]]=0,"On Budget","Over Budget")))</f>
        <v>Over Budget</v>
      </c>
      <c r="AA15" s="26">
        <f>IF(OR(ISBLANK(Table1[[#This Row],[Actual_Cost_ZAR]]),ISBLANK(Table1[[#This Row],[Budget_ZAR]])),0,Table1[[#This Row],[Actual_Cost_ZAR]]-Table1[[#This Row],[Budget_ZAR]])</f>
        <v>458026.82999999961</v>
      </c>
      <c r="AB15" s="9">
        <f>IF(OR(Table1[[#This Row],[Cost_Variance]]="",Table1[[#This Row],[Budget_ZAR]]=""),0,Table1[[#This Row],[Cost_Variance]]/Table1[[#This Row],[Budget_ZAR]])</f>
        <v>0.1445379235165134</v>
      </c>
      <c r="AC15" t="str">
        <f>IF(Table1[[#This Row],[Last_Updated]] = "","Missing Date",IF(Table1[[#This Row],[Last_Updated]]=_xlfn.MAXIFS(Table1[Last_Updated],Table1[Project_ID],Table1[[#This Row],[Project_ID]]),"Latest","Older"))</f>
        <v>Older</v>
      </c>
      <c r="AD15">
        <f>COUNTIFS(Table1[Project_ID],Table1[[#This Row],[Project_ID]],Table1[Last_Updated],"&gt;0")</f>
        <v>3</v>
      </c>
      <c r="AE15">
        <f>COUNTIFS(Table1[Project_ID],Table1[[#This Row],[Project_ID]],Table1[Latest_Record_Flag],"Latest")</f>
        <v>1</v>
      </c>
      <c r="AF15" t="str">
        <f>IF(Table1[[#This Row],[Latest_Count]]&gt;1,"Potential Duplicate -Review","Unique")</f>
        <v>Unique</v>
      </c>
      <c r="AG15" t="str">
        <f>IF(Table1[[#This Row],[Latest_Record_Flag]]&lt;&gt;"Latest","",IF(Table1[[#This Row],[Latest_Count]]&gt;1,"Review - Tied Latest Date", "OK"))</f>
        <v/>
      </c>
    </row>
    <row r="16" spans="1:33" x14ac:dyDescent="0.25">
      <c r="A16" s="2" t="s">
        <v>87</v>
      </c>
      <c r="B16" s="2" t="s">
        <v>88</v>
      </c>
      <c r="C16" s="2" t="s">
        <v>89</v>
      </c>
      <c r="D16" s="2" t="s">
        <v>58</v>
      </c>
      <c r="E16" s="2" t="s">
        <v>20</v>
      </c>
      <c r="F16" s="2" t="s">
        <v>59</v>
      </c>
      <c r="G16" s="2" t="s">
        <v>60</v>
      </c>
      <c r="H16" s="2" t="s">
        <v>32</v>
      </c>
      <c r="I16" s="5">
        <v>45874</v>
      </c>
      <c r="J16" s="2">
        <v>66</v>
      </c>
      <c r="K16" s="2">
        <v>68</v>
      </c>
      <c r="L16" s="14"/>
      <c r="M16" s="14" t="str">
        <f>IF(Table1[[#This Row],[Budget_ZAR]]="", "Missing", "Present")</f>
        <v>Missing</v>
      </c>
      <c r="N16" s="14">
        <v>3823878.04</v>
      </c>
      <c r="O16" s="14" t="str">
        <f>IF(Table1[[#This Row],[Actual_Cost_ZAR]]="","Missing","Present")</f>
        <v>Present</v>
      </c>
      <c r="P16"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Budget Missing</v>
      </c>
      <c r="Q16" s="2">
        <v>10</v>
      </c>
      <c r="R16" s="2" t="s">
        <v>33</v>
      </c>
      <c r="S16" s="2" t="str" cm="1">
        <f t="array" ref="S16">IF(Table1[[#This Row],[Progress_Percent]]="unknown","Unknown",_xlfn.IFS(Table1[[#This Row],[Progress_Percent]]&lt;=10,"Planning",Table1[[#This Row],[Progress_Percent]]&lt;100, "In Progress",Table1[[#This Row],[Progress_Percent]]=100,"Completed"))</f>
        <v>Planning</v>
      </c>
      <c r="T16" s="2" t="str">
        <f>IF(Table1[[#This Row],[Progress_Percent]]="unknown","Unknown",IF(Table1[[#This Row],[Project_Status]]="On Hold","Review",IF(Table1[[#This Row],[Project_Status]]=Table1[[#This Row],[Project_Expected_Status]],"OK","Mismatch")))</f>
        <v>Review</v>
      </c>
      <c r="U16" s="5">
        <v>45979</v>
      </c>
      <c r="V16">
        <f>Table1[[#This Row],[Actual_Duration_Days]]-Table1[[#This Row],[Planned_Duration_Days]]</f>
        <v>2</v>
      </c>
      <c r="W16" t="str" cm="1">
        <f t="array" ref="W16">_xlfn.IFS(Table1[[#This Row],[Schedule_Variance]]&gt;0,"Behind Schedule",Table1[[#This Row],[Schedule_Variance]]&lt;0,"Ahead of Schedule",Table1[[#This Row],[Schedule_Variance]]=0,"On Schedule")</f>
        <v>Behind Schedule</v>
      </c>
      <c r="X16" s="26">
        <f>IF(OR(ISBLANK(Table1[[#This Row],[Actual_Cost_ZAR]])),"",Table1[[#This Row],[Actual_Cost_ZAR]]-Table1[[#This Row],[Budget_ZAR]])</f>
        <v>3823878.04</v>
      </c>
      <c r="Y16" s="9" t="str">
        <f>IF(OR(Table1[[#This Row],[Cost_Variance]]="",Table1[[#This Row],[Budget_ZAR]]=""),"",Table1[[#This Row],[Cost_Variance]]/Table1[[#This Row],[Budget_ZAR]])</f>
        <v/>
      </c>
      <c r="Z16" t="str">
        <f>IF(OR(Table1[[#This Row],[Budget_ZAR]]="",Table1[[#This Row],[Actual_Cost_ZAR]]=""),"Missing Data",IF(Table1[[#This Row],[Cost_Variance]]&lt;0,"Under Budget",IF(Table1[[#This Row],[Cost_Variance]]=0,"On Budget","Over Budget")))</f>
        <v>Missing Data</v>
      </c>
      <c r="AA16" s="26">
        <f>IF(OR(ISBLANK(Table1[[#This Row],[Actual_Cost_ZAR]]),ISBLANK(Table1[[#This Row],[Budget_ZAR]])),0,Table1[[#This Row],[Actual_Cost_ZAR]]-Table1[[#This Row],[Budget_ZAR]])</f>
        <v>0</v>
      </c>
      <c r="AB16" s="9">
        <f>IF(OR(Table1[[#This Row],[Cost_Variance]]="",Table1[[#This Row],[Budget_ZAR]]=""),0,Table1[[#This Row],[Cost_Variance]]/Table1[[#This Row],[Budget_ZAR]])</f>
        <v>0</v>
      </c>
      <c r="AC16" t="str">
        <f>IF(Table1[[#This Row],[Last_Updated]] = "","Missing Date",IF(Table1[[#This Row],[Last_Updated]]=_xlfn.MAXIFS(Table1[Last_Updated],Table1[Project_ID],Table1[[#This Row],[Project_ID]]),"Latest","Older"))</f>
        <v>Older</v>
      </c>
      <c r="AD16">
        <f>COUNTIFS(Table1[Project_ID],Table1[[#This Row],[Project_ID]],Table1[Last_Updated],"&gt;0")</f>
        <v>7</v>
      </c>
      <c r="AE16">
        <f>COUNTIFS(Table1[Project_ID],Table1[[#This Row],[Project_ID]],Table1[Latest_Record_Flag],"Latest")</f>
        <v>1</v>
      </c>
      <c r="AF16" t="str">
        <f>IF(Table1[[#This Row],[Latest_Count]]&gt;1,"Potential Duplicate -Review","Unique")</f>
        <v>Unique</v>
      </c>
      <c r="AG16" t="str">
        <f>IF(Table1[[#This Row],[Latest_Record_Flag]]&lt;&gt;"Latest","",IF(Table1[[#This Row],[Latest_Count]]&gt;1,"Review - Tied Latest Date", "OK"))</f>
        <v/>
      </c>
    </row>
    <row r="17" spans="1:33" x14ac:dyDescent="0.25">
      <c r="A17" s="2" t="s">
        <v>91</v>
      </c>
      <c r="B17" s="2" t="s">
        <v>92</v>
      </c>
      <c r="C17" s="2" t="s">
        <v>93</v>
      </c>
      <c r="D17" s="2" t="s">
        <v>37</v>
      </c>
      <c r="E17" s="2" t="s">
        <v>94</v>
      </c>
      <c r="F17" s="2" t="s">
        <v>44</v>
      </c>
      <c r="G17" s="2" t="s">
        <v>95</v>
      </c>
      <c r="H17" s="2" t="s">
        <v>38</v>
      </c>
      <c r="I17" s="5">
        <v>45904</v>
      </c>
      <c r="J17" s="2">
        <v>74</v>
      </c>
      <c r="K17" s="2">
        <v>114</v>
      </c>
      <c r="L17" s="14">
        <v>2756501.83</v>
      </c>
      <c r="M17" s="14" t="str">
        <f>IF(Table1[[#This Row],[Budget_ZAR]]="", "Missing", "Present")</f>
        <v>Present</v>
      </c>
      <c r="N17" s="14">
        <v>2230885.7200000002</v>
      </c>
      <c r="O17" s="14" t="str">
        <f>IF(Table1[[#This Row],[Actual_Cost_ZAR]]="","Missing","Present")</f>
        <v>Present</v>
      </c>
      <c r="P17"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17" s="2">
        <v>85</v>
      </c>
      <c r="R17" s="2" t="s">
        <v>24</v>
      </c>
      <c r="S17" s="2" t="str" cm="1">
        <f t="array" ref="S17">IF(Table1[[#This Row],[Progress_Percent]]="unknown","Unknown",_xlfn.IFS(Table1[[#This Row],[Progress_Percent]]&lt;=10,"Planning",Table1[[#This Row],[Progress_Percent]]&lt;100, "In Progress",Table1[[#This Row],[Progress_Percent]]=100,"Completed"))</f>
        <v>In Progress</v>
      </c>
      <c r="T17" s="2" t="str">
        <f>IF(Table1[[#This Row],[Progress_Percent]]="unknown","Unknown",IF(Table1[[#This Row],[Project_Status]]="On Hold","Review",IF(Table1[[#This Row],[Project_Status]]=Table1[[#This Row],[Project_Expected_Status]],"OK","Mismatch")))</f>
        <v>Mismatch</v>
      </c>
      <c r="U17" s="5">
        <v>46029</v>
      </c>
      <c r="V17">
        <f>Table1[[#This Row],[Actual_Duration_Days]]-Table1[[#This Row],[Planned_Duration_Days]]</f>
        <v>40</v>
      </c>
      <c r="W17" t="str" cm="1">
        <f t="array" ref="W17">_xlfn.IFS(Table1[[#This Row],[Schedule_Variance]]&gt;0,"Behind Schedule",Table1[[#This Row],[Schedule_Variance]]&lt;0,"Ahead of Schedule",Table1[[#This Row],[Schedule_Variance]]=0,"On Schedule")</f>
        <v>Behind Schedule</v>
      </c>
      <c r="X17" s="26">
        <f>IF(OR(ISBLANK(Table1[[#This Row],[Actual_Cost_ZAR]])),"",Table1[[#This Row],[Actual_Cost_ZAR]]-Table1[[#This Row],[Budget_ZAR]])</f>
        <v>-525616.10999999987</v>
      </c>
      <c r="Y17" s="9">
        <f>IF(OR(Table1[[#This Row],[Cost_Variance]]="",Table1[[#This Row],[Budget_ZAR]]=""),"",Table1[[#This Row],[Cost_Variance]]/Table1[[#This Row],[Budget_ZAR]])</f>
        <v>-0.19068230039956108</v>
      </c>
      <c r="Z17" t="str">
        <f>IF(OR(Table1[[#This Row],[Budget_ZAR]]="",Table1[[#This Row],[Actual_Cost_ZAR]]=""),"Missing Data",IF(Table1[[#This Row],[Cost_Variance]]&lt;0,"Under Budget",IF(Table1[[#This Row],[Cost_Variance]]=0,"On Budget","Over Budget")))</f>
        <v>Under Budget</v>
      </c>
      <c r="AA17" s="26">
        <f>IF(OR(ISBLANK(Table1[[#This Row],[Actual_Cost_ZAR]]),ISBLANK(Table1[[#This Row],[Budget_ZAR]])),0,Table1[[#This Row],[Actual_Cost_ZAR]]-Table1[[#This Row],[Budget_ZAR]])</f>
        <v>-525616.10999999987</v>
      </c>
      <c r="AB17" s="9">
        <f>IF(OR(Table1[[#This Row],[Cost_Variance]]="",Table1[[#This Row],[Budget_ZAR]]=""),0,Table1[[#This Row],[Cost_Variance]]/Table1[[#This Row],[Budget_ZAR]])</f>
        <v>-0.19068230039956108</v>
      </c>
      <c r="AC17" t="str">
        <f>IF(Table1[[#This Row],[Last_Updated]] = "","Missing Date",IF(Table1[[#This Row],[Last_Updated]]=_xlfn.MAXIFS(Table1[Last_Updated],Table1[Project_ID],Table1[[#This Row],[Project_ID]]),"Latest","Older"))</f>
        <v>Older</v>
      </c>
      <c r="AD17">
        <f>COUNTIFS(Table1[Project_ID],Table1[[#This Row],[Project_ID]],Table1[Last_Updated],"&gt;0")</f>
        <v>8</v>
      </c>
      <c r="AE17">
        <f>COUNTIFS(Table1[Project_ID],Table1[[#This Row],[Project_ID]],Table1[Latest_Record_Flag],"Latest")</f>
        <v>1</v>
      </c>
      <c r="AF17" t="str">
        <f>IF(Table1[[#This Row],[Latest_Count]]&gt;1,"Potential Duplicate -Review","Unique")</f>
        <v>Unique</v>
      </c>
      <c r="AG17" t="str">
        <f>IF(Table1[[#This Row],[Latest_Record_Flag]]&lt;&gt;"Latest","",IF(Table1[[#This Row],[Latest_Count]]&gt;1,"Review - Tied Latest Date", "OK"))</f>
        <v/>
      </c>
    </row>
    <row r="18" spans="1:33" x14ac:dyDescent="0.25">
      <c r="A18" s="2" t="s">
        <v>96</v>
      </c>
      <c r="B18" s="2" t="s">
        <v>88</v>
      </c>
      <c r="C18" s="2" t="s">
        <v>97</v>
      </c>
      <c r="D18" s="2" t="s">
        <v>19</v>
      </c>
      <c r="E18" s="2" t="s">
        <v>68</v>
      </c>
      <c r="F18" s="2" t="s">
        <v>44</v>
      </c>
      <c r="G18" s="2" t="s">
        <v>95</v>
      </c>
      <c r="H18" s="2" t="s">
        <v>23</v>
      </c>
      <c r="I18" s="5">
        <v>45755</v>
      </c>
      <c r="J18" s="2">
        <v>95</v>
      </c>
      <c r="K18" s="2">
        <v>93</v>
      </c>
      <c r="L18" s="14">
        <v>6304433.5300000003</v>
      </c>
      <c r="M18" s="14" t="str">
        <f>IF(Table1[[#This Row],[Budget_ZAR]]="", "Missing", "Present")</f>
        <v>Present</v>
      </c>
      <c r="N18" s="14">
        <v>6743159.9800000004</v>
      </c>
      <c r="O18" s="14" t="str">
        <f>IF(Table1[[#This Row],[Actual_Cost_ZAR]]="","Missing","Present")</f>
        <v>Present</v>
      </c>
      <c r="P18"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18" s="2"/>
      <c r="R18" s="2" t="s">
        <v>24</v>
      </c>
      <c r="S18" s="2" t="str" cm="1">
        <f t="array" ref="S18">IF(Table1[[#This Row],[Progress_Percent]]="unknown","Unknown",_xlfn.IFS(Table1[[#This Row],[Progress_Percent]]&lt;=10,"Planning",Table1[[#This Row],[Progress_Percent]]&lt;100, "In Progress",Table1[[#This Row],[Progress_Percent]]=100,"Completed"))</f>
        <v>Planning</v>
      </c>
      <c r="T18" s="2" t="str">
        <f>IF(Table1[[#This Row],[Progress_Percent]]="unknown","Unknown",IF(Table1[[#This Row],[Project_Status]]="On Hold","Review",IF(Table1[[#This Row],[Project_Status]]=Table1[[#This Row],[Project_Expected_Status]],"OK","Mismatch")))</f>
        <v>OK</v>
      </c>
      <c r="U18" s="5">
        <v>45796</v>
      </c>
      <c r="V18">
        <f>Table1[[#This Row],[Actual_Duration_Days]]-Table1[[#This Row],[Planned_Duration_Days]]</f>
        <v>-2</v>
      </c>
      <c r="W18" t="str" cm="1">
        <f t="array" ref="W18">_xlfn.IFS(Table1[[#This Row],[Schedule_Variance]]&gt;0,"Behind Schedule",Table1[[#This Row],[Schedule_Variance]]&lt;0,"Ahead of Schedule",Table1[[#This Row],[Schedule_Variance]]=0,"On Schedule")</f>
        <v>Ahead of Schedule</v>
      </c>
      <c r="X18" s="26">
        <f>IF(OR(ISBLANK(Table1[[#This Row],[Actual_Cost_ZAR]])),"",Table1[[#This Row],[Actual_Cost_ZAR]]-Table1[[#This Row],[Budget_ZAR]])</f>
        <v>438726.45000000019</v>
      </c>
      <c r="Y18" s="9">
        <f>IF(OR(Table1[[#This Row],[Cost_Variance]]="",Table1[[#This Row],[Budget_ZAR]]=""),"",Table1[[#This Row],[Cost_Variance]]/Table1[[#This Row],[Budget_ZAR]])</f>
        <v>6.9590146031724462E-2</v>
      </c>
      <c r="Z18" t="str">
        <f>IF(OR(Table1[[#This Row],[Budget_ZAR]]="",Table1[[#This Row],[Actual_Cost_ZAR]]=""),"Missing Data",IF(Table1[[#This Row],[Cost_Variance]]&lt;0,"Under Budget",IF(Table1[[#This Row],[Cost_Variance]]=0,"On Budget","Over Budget")))</f>
        <v>Over Budget</v>
      </c>
      <c r="AA18" s="26">
        <f>IF(OR(ISBLANK(Table1[[#This Row],[Actual_Cost_ZAR]]),ISBLANK(Table1[[#This Row],[Budget_ZAR]])),0,Table1[[#This Row],[Actual_Cost_ZAR]]-Table1[[#This Row],[Budget_ZAR]])</f>
        <v>438726.45000000019</v>
      </c>
      <c r="AB18" s="9">
        <f>IF(OR(Table1[[#This Row],[Cost_Variance]]="",Table1[[#This Row],[Budget_ZAR]]=""),0,Table1[[#This Row],[Cost_Variance]]/Table1[[#This Row],[Budget_ZAR]])</f>
        <v>6.9590146031724462E-2</v>
      </c>
      <c r="AC18" t="str">
        <f>IF(Table1[[#This Row],[Last_Updated]] = "","Missing Date",IF(Table1[[#This Row],[Last_Updated]]=_xlfn.MAXIFS(Table1[Last_Updated],Table1[Project_ID],Table1[[#This Row],[Project_ID]]),"Latest","Older"))</f>
        <v>Older</v>
      </c>
      <c r="AD18">
        <f>COUNTIFS(Table1[Project_ID],Table1[[#This Row],[Project_ID]],Table1[Last_Updated],"&gt;0")</f>
        <v>7</v>
      </c>
      <c r="AE18">
        <f>COUNTIFS(Table1[Project_ID],Table1[[#This Row],[Project_ID]],Table1[Latest_Record_Flag],"Latest")</f>
        <v>1</v>
      </c>
      <c r="AF18" t="str">
        <f>IF(Table1[[#This Row],[Latest_Count]]&gt;1,"Potential Duplicate -Review","Unique")</f>
        <v>Unique</v>
      </c>
      <c r="AG18" t="str">
        <f>IF(Table1[[#This Row],[Latest_Record_Flag]]&lt;&gt;"Latest","",IF(Table1[[#This Row],[Latest_Count]]&gt;1,"Review - Tied Latest Date", "OK"))</f>
        <v/>
      </c>
    </row>
    <row r="19" spans="1:33" x14ac:dyDescent="0.25">
      <c r="A19" s="2" t="s">
        <v>98</v>
      </c>
      <c r="B19" s="2" t="s">
        <v>51</v>
      </c>
      <c r="C19" s="2" t="s">
        <v>99</v>
      </c>
      <c r="D19" s="2" t="s">
        <v>58</v>
      </c>
      <c r="E19" s="2" t="s">
        <v>68</v>
      </c>
      <c r="F19" s="2" t="s">
        <v>59</v>
      </c>
      <c r="G19" s="2" t="s">
        <v>95</v>
      </c>
      <c r="H19" s="2" t="s">
        <v>61</v>
      </c>
      <c r="I19" s="5">
        <v>45918</v>
      </c>
      <c r="J19" s="2">
        <v>40</v>
      </c>
      <c r="K19" s="2">
        <v>79</v>
      </c>
      <c r="L19" s="14">
        <v>1411406.01</v>
      </c>
      <c r="M19" s="14" t="str">
        <f>IF(Table1[[#This Row],[Budget_ZAR]]="", "Missing", "Present")</f>
        <v>Present</v>
      </c>
      <c r="N19" s="14">
        <v>1520814.75</v>
      </c>
      <c r="O19" s="14" t="str">
        <f>IF(Table1[[#This Row],[Actual_Cost_ZAR]]="","Missing","Present")</f>
        <v>Present</v>
      </c>
      <c r="P19"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19" s="2">
        <v>40</v>
      </c>
      <c r="R19" s="2" t="s">
        <v>33</v>
      </c>
      <c r="S19" s="2" t="str" cm="1">
        <f t="array" ref="S19">IF(Table1[[#This Row],[Progress_Percent]]="unknown","Unknown",_xlfn.IFS(Table1[[#This Row],[Progress_Percent]]&lt;=10,"Planning",Table1[[#This Row],[Progress_Percent]]&lt;100, "In Progress",Table1[[#This Row],[Progress_Percent]]=100,"Completed"))</f>
        <v>In Progress</v>
      </c>
      <c r="T19" s="2" t="str">
        <f>IF(Table1[[#This Row],[Progress_Percent]]="unknown","Unknown",IF(Table1[[#This Row],[Project_Status]]="On Hold","Review",IF(Table1[[#This Row],[Project_Status]]=Table1[[#This Row],[Project_Expected_Status]],"OK","Mismatch")))</f>
        <v>Review</v>
      </c>
      <c r="U19" s="5">
        <v>46026</v>
      </c>
      <c r="V19">
        <f>Table1[[#This Row],[Actual_Duration_Days]]-Table1[[#This Row],[Planned_Duration_Days]]</f>
        <v>39</v>
      </c>
      <c r="W19" t="str" cm="1">
        <f t="array" ref="W19">_xlfn.IFS(Table1[[#This Row],[Schedule_Variance]]&gt;0,"Behind Schedule",Table1[[#This Row],[Schedule_Variance]]&lt;0,"Ahead of Schedule",Table1[[#This Row],[Schedule_Variance]]=0,"On Schedule")</f>
        <v>Behind Schedule</v>
      </c>
      <c r="X19" s="26">
        <f>IF(OR(ISBLANK(Table1[[#This Row],[Actual_Cost_ZAR]])),"",Table1[[#This Row],[Actual_Cost_ZAR]]-Table1[[#This Row],[Budget_ZAR]])</f>
        <v>109408.73999999999</v>
      </c>
      <c r="Y19" s="9">
        <f>IF(OR(Table1[[#This Row],[Cost_Variance]]="",Table1[[#This Row],[Budget_ZAR]]=""),"",Table1[[#This Row],[Cost_Variance]]/Table1[[#This Row],[Budget_ZAR]])</f>
        <v>7.7517552869142164E-2</v>
      </c>
      <c r="Z19" t="str">
        <f>IF(OR(Table1[[#This Row],[Budget_ZAR]]="",Table1[[#This Row],[Actual_Cost_ZAR]]=""),"Missing Data",IF(Table1[[#This Row],[Cost_Variance]]&lt;0,"Under Budget",IF(Table1[[#This Row],[Cost_Variance]]=0,"On Budget","Over Budget")))</f>
        <v>Over Budget</v>
      </c>
      <c r="AA19" s="26">
        <f>IF(OR(ISBLANK(Table1[[#This Row],[Actual_Cost_ZAR]]),ISBLANK(Table1[[#This Row],[Budget_ZAR]])),0,Table1[[#This Row],[Actual_Cost_ZAR]]-Table1[[#This Row],[Budget_ZAR]])</f>
        <v>109408.73999999999</v>
      </c>
      <c r="AB19" s="9">
        <f>IF(OR(Table1[[#This Row],[Cost_Variance]]="",Table1[[#This Row],[Budget_ZAR]]=""),0,Table1[[#This Row],[Cost_Variance]]/Table1[[#This Row],[Budget_ZAR]])</f>
        <v>7.7517552869142164E-2</v>
      </c>
      <c r="AC19" t="str">
        <f>IF(Table1[[#This Row],[Last_Updated]] = "","Missing Date",IF(Table1[[#This Row],[Last_Updated]]=_xlfn.MAXIFS(Table1[Last_Updated],Table1[Project_ID],Table1[[#This Row],[Project_ID]]),"Latest","Older"))</f>
        <v>Older</v>
      </c>
      <c r="AD19">
        <f>COUNTIFS(Table1[Project_ID],Table1[[#This Row],[Project_ID]],Table1[Last_Updated],"&gt;0")</f>
        <v>4</v>
      </c>
      <c r="AE19">
        <f>COUNTIFS(Table1[Project_ID],Table1[[#This Row],[Project_ID]],Table1[Latest_Record_Flag],"Latest")</f>
        <v>1</v>
      </c>
      <c r="AF19" t="str">
        <f>IF(Table1[[#This Row],[Latest_Count]]&gt;1,"Potential Duplicate -Review","Unique")</f>
        <v>Unique</v>
      </c>
      <c r="AG19" t="str">
        <f>IF(Table1[[#This Row],[Latest_Record_Flag]]&lt;&gt;"Latest","",IF(Table1[[#This Row],[Latest_Count]]&gt;1,"Review - Tied Latest Date", "OK"))</f>
        <v/>
      </c>
    </row>
    <row r="20" spans="1:33" x14ac:dyDescent="0.25">
      <c r="A20" s="2" t="s">
        <v>100</v>
      </c>
      <c r="B20" s="2" t="s">
        <v>101</v>
      </c>
      <c r="C20" s="2" t="s">
        <v>102</v>
      </c>
      <c r="D20" s="2" t="s">
        <v>28</v>
      </c>
      <c r="E20" s="2" t="s">
        <v>85</v>
      </c>
      <c r="F20" s="2" t="s">
        <v>44</v>
      </c>
      <c r="G20" s="2" t="s">
        <v>31</v>
      </c>
      <c r="H20" s="2" t="s">
        <v>61</v>
      </c>
      <c r="I20" s="5">
        <v>45947</v>
      </c>
      <c r="J20" s="2">
        <v>153</v>
      </c>
      <c r="K20" s="2">
        <v>158</v>
      </c>
      <c r="L20" s="14">
        <v>6091914.1100000003</v>
      </c>
      <c r="M20" s="14" t="str">
        <f>IF(Table1[[#This Row],[Budget_ZAR]]="", "Missing", "Present")</f>
        <v>Present</v>
      </c>
      <c r="N20" s="14"/>
      <c r="O20" s="14" t="str">
        <f>IF(Table1[[#This Row],[Actual_Cost_ZAR]]="","Missing","Present")</f>
        <v>Missing</v>
      </c>
      <c r="P20"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Actual Cost Missing</v>
      </c>
      <c r="Q20" s="2">
        <v>70</v>
      </c>
      <c r="R20" s="2" t="s">
        <v>49</v>
      </c>
      <c r="S20" s="2" t="str" cm="1">
        <f t="array" ref="S20">IF(Table1[[#This Row],[Progress_Percent]]="unknown","Unknown",_xlfn.IFS(Table1[[#This Row],[Progress_Percent]]&lt;=10,"Planning",Table1[[#This Row],[Progress_Percent]]&lt;100, "In Progress",Table1[[#This Row],[Progress_Percent]]=100,"Completed"))</f>
        <v>In Progress</v>
      </c>
      <c r="T20" s="2" t="str">
        <f>IF(Table1[[#This Row],[Progress_Percent]]="unknown","Unknown",IF(Table1[[#This Row],[Project_Status]]="On Hold","Review",IF(Table1[[#This Row],[Project_Status]]=Table1[[#This Row],[Project_Expected_Status]],"OK","Mismatch")))</f>
        <v>OK</v>
      </c>
      <c r="U20" s="5">
        <v>45950</v>
      </c>
      <c r="V20">
        <f>Table1[[#This Row],[Actual_Duration_Days]]-Table1[[#This Row],[Planned_Duration_Days]]</f>
        <v>5</v>
      </c>
      <c r="W20" t="str" cm="1">
        <f t="array" ref="W20">_xlfn.IFS(Table1[[#This Row],[Schedule_Variance]]&gt;0,"Behind Schedule",Table1[[#This Row],[Schedule_Variance]]&lt;0,"Ahead of Schedule",Table1[[#This Row],[Schedule_Variance]]=0,"On Schedule")</f>
        <v>Behind Schedule</v>
      </c>
      <c r="X20" s="26" t="str">
        <f>IF(OR(ISBLANK(Table1[[#This Row],[Actual_Cost_ZAR]])),"",Table1[[#This Row],[Actual_Cost_ZAR]]-Table1[[#This Row],[Budget_ZAR]])</f>
        <v/>
      </c>
      <c r="Y20" s="9" t="str">
        <f>IF(OR(Table1[[#This Row],[Cost_Variance]]="",Table1[[#This Row],[Budget_ZAR]]=""),"",Table1[[#This Row],[Cost_Variance]]/Table1[[#This Row],[Budget_ZAR]])</f>
        <v/>
      </c>
      <c r="Z20" t="str">
        <f>IF(OR(Table1[[#This Row],[Budget_ZAR]]="",Table1[[#This Row],[Actual_Cost_ZAR]]=""),"Missing Data",IF(Table1[[#This Row],[Cost_Variance]]&lt;0,"Under Budget",IF(Table1[[#This Row],[Cost_Variance]]=0,"On Budget","Over Budget")))</f>
        <v>Missing Data</v>
      </c>
      <c r="AA20" s="26">
        <f>IF(OR(ISBLANK(Table1[[#This Row],[Actual_Cost_ZAR]]),ISBLANK(Table1[[#This Row],[Budget_ZAR]])),0,Table1[[#This Row],[Actual_Cost_ZAR]]-Table1[[#This Row],[Budget_ZAR]])</f>
        <v>0</v>
      </c>
      <c r="AB20" s="9">
        <f>IF(OR(Table1[[#This Row],[Cost_Variance]]="",Table1[[#This Row],[Budget_ZAR]]=""),0,Table1[[#This Row],[Cost_Variance]]/Table1[[#This Row],[Budget_ZAR]])</f>
        <v>0</v>
      </c>
      <c r="AC20" t="str">
        <f>IF(Table1[[#This Row],[Last_Updated]] = "","Missing Date",IF(Table1[[#This Row],[Last_Updated]]=_xlfn.MAXIFS(Table1[Last_Updated],Table1[Project_ID],Table1[[#This Row],[Project_ID]]),"Latest","Older"))</f>
        <v>Latest</v>
      </c>
      <c r="AD20">
        <f>COUNTIFS(Table1[Project_ID],Table1[[#This Row],[Project_ID]],Table1[Last_Updated],"&gt;0")</f>
        <v>3</v>
      </c>
      <c r="AE20">
        <f>COUNTIFS(Table1[Project_ID],Table1[[#This Row],[Project_ID]],Table1[Latest_Record_Flag],"Latest")</f>
        <v>1</v>
      </c>
      <c r="AF20" t="str">
        <f>IF(Table1[[#This Row],[Latest_Count]]&gt;1,"Potential Duplicate -Review","Unique")</f>
        <v>Unique</v>
      </c>
      <c r="AG20" t="str">
        <f>IF(Table1[[#This Row],[Latest_Record_Flag]]&lt;&gt;"Latest","",IF(Table1[[#This Row],[Latest_Count]]&gt;1,"Review - Tied Latest Date", "OK"))</f>
        <v>OK</v>
      </c>
    </row>
    <row r="21" spans="1:33" x14ac:dyDescent="0.25">
      <c r="A21" s="2" t="s">
        <v>105</v>
      </c>
      <c r="B21" s="2" t="s">
        <v>106</v>
      </c>
      <c r="C21" s="2" t="s">
        <v>107</v>
      </c>
      <c r="D21" s="2" t="s">
        <v>28</v>
      </c>
      <c r="E21" s="2" t="s">
        <v>43</v>
      </c>
      <c r="F21" s="2" t="s">
        <v>265</v>
      </c>
      <c r="G21" s="2" t="s">
        <v>22</v>
      </c>
      <c r="H21" s="2" t="s">
        <v>108</v>
      </c>
      <c r="I21" s="5">
        <v>45976</v>
      </c>
      <c r="J21" s="2">
        <v>164</v>
      </c>
      <c r="K21" s="2">
        <v>155</v>
      </c>
      <c r="L21" s="14">
        <v>707879.51</v>
      </c>
      <c r="M21" s="14" t="str">
        <f>IF(Table1[[#This Row],[Budget_ZAR]]="", "Missing", "Present")</f>
        <v>Present</v>
      </c>
      <c r="N21" s="14">
        <v>627589.80000000005</v>
      </c>
      <c r="O21" s="14" t="str">
        <f>IF(Table1[[#This Row],[Actual_Cost_ZAR]]="","Missing","Present")</f>
        <v>Present</v>
      </c>
      <c r="P21"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21" s="2">
        <v>55</v>
      </c>
      <c r="R21" s="2" t="s">
        <v>49</v>
      </c>
      <c r="S21" s="2" t="str" cm="1">
        <f t="array" ref="S21">IF(Table1[[#This Row],[Progress_Percent]]="unknown","Unknown",_xlfn.IFS(Table1[[#This Row],[Progress_Percent]]&lt;=10,"Planning",Table1[[#This Row],[Progress_Percent]]&lt;100, "In Progress",Table1[[#This Row],[Progress_Percent]]=100,"Completed"))</f>
        <v>In Progress</v>
      </c>
      <c r="T21" s="2" t="str">
        <f>IF(Table1[[#This Row],[Progress_Percent]]="unknown","Unknown",IF(Table1[[#This Row],[Project_Status]]="On Hold","Review",IF(Table1[[#This Row],[Project_Status]]=Table1[[#This Row],[Project_Expected_Status]],"OK","Mismatch")))</f>
        <v>OK</v>
      </c>
      <c r="U21" s="5">
        <v>46116</v>
      </c>
      <c r="V21">
        <f>Table1[[#This Row],[Actual_Duration_Days]]-Table1[[#This Row],[Planned_Duration_Days]]</f>
        <v>-9</v>
      </c>
      <c r="W21" t="str" cm="1">
        <f t="array" ref="W21">_xlfn.IFS(Table1[[#This Row],[Schedule_Variance]]&gt;0,"Behind Schedule",Table1[[#This Row],[Schedule_Variance]]&lt;0,"Ahead of Schedule",Table1[[#This Row],[Schedule_Variance]]=0,"On Schedule")</f>
        <v>Ahead of Schedule</v>
      </c>
      <c r="X21" s="26">
        <f>IF(OR(ISBLANK(Table1[[#This Row],[Actual_Cost_ZAR]])),"",Table1[[#This Row],[Actual_Cost_ZAR]]-Table1[[#This Row],[Budget_ZAR]])</f>
        <v>-80289.709999999963</v>
      </c>
      <c r="Y21" s="9">
        <f>IF(OR(Table1[[#This Row],[Cost_Variance]]="",Table1[[#This Row],[Budget_ZAR]]=""),"",Table1[[#This Row],[Cost_Variance]]/Table1[[#This Row],[Budget_ZAR]])</f>
        <v>-0.11342284790811358</v>
      </c>
      <c r="Z21" t="str">
        <f>IF(OR(Table1[[#This Row],[Budget_ZAR]]="",Table1[[#This Row],[Actual_Cost_ZAR]]=""),"Missing Data",IF(Table1[[#This Row],[Cost_Variance]]&lt;0,"Under Budget",IF(Table1[[#This Row],[Cost_Variance]]=0,"On Budget","Over Budget")))</f>
        <v>Under Budget</v>
      </c>
      <c r="AA21" s="26">
        <f>IF(OR(ISBLANK(Table1[[#This Row],[Actual_Cost_ZAR]]),ISBLANK(Table1[[#This Row],[Budget_ZAR]])),0,Table1[[#This Row],[Actual_Cost_ZAR]]-Table1[[#This Row],[Budget_ZAR]])</f>
        <v>-80289.709999999963</v>
      </c>
      <c r="AB21" s="9">
        <f>IF(OR(Table1[[#This Row],[Cost_Variance]]="",Table1[[#This Row],[Budget_ZAR]]=""),0,Table1[[#This Row],[Cost_Variance]]/Table1[[#This Row],[Budget_ZAR]])</f>
        <v>-0.11342284790811358</v>
      </c>
      <c r="AC21" t="str">
        <f>IF(Table1[[#This Row],[Last_Updated]] = "","Missing Date",IF(Table1[[#This Row],[Last_Updated]]=_xlfn.MAXIFS(Table1[Last_Updated],Table1[Project_ID],Table1[[#This Row],[Project_ID]]),"Latest","Older"))</f>
        <v>Latest</v>
      </c>
      <c r="AD21">
        <f>COUNTIFS(Table1[Project_ID],Table1[[#This Row],[Project_ID]],Table1[Last_Updated],"&gt;0")</f>
        <v>6</v>
      </c>
      <c r="AE21">
        <f>COUNTIFS(Table1[Project_ID],Table1[[#This Row],[Project_ID]],Table1[Latest_Record_Flag],"Latest")</f>
        <v>1</v>
      </c>
      <c r="AF21" t="str">
        <f>IF(Table1[[#This Row],[Latest_Count]]&gt;1,"Potential Duplicate -Review","Unique")</f>
        <v>Unique</v>
      </c>
      <c r="AG21" t="str">
        <f>IF(Table1[[#This Row],[Latest_Record_Flag]]&lt;&gt;"Latest","",IF(Table1[[#This Row],[Latest_Count]]&gt;1,"Review - Tied Latest Date", "OK"))</f>
        <v>OK</v>
      </c>
    </row>
    <row r="22" spans="1:33" x14ac:dyDescent="0.25">
      <c r="A22" s="2" t="s">
        <v>109</v>
      </c>
      <c r="B22" s="2" t="s">
        <v>110</v>
      </c>
      <c r="C22" s="2" t="s">
        <v>111</v>
      </c>
      <c r="D22" s="2" t="s">
        <v>19</v>
      </c>
      <c r="E22" s="2" t="s">
        <v>20</v>
      </c>
      <c r="F22" s="2" t="s">
        <v>21</v>
      </c>
      <c r="G22" s="2" t="s">
        <v>31</v>
      </c>
      <c r="H22" s="2" t="s">
        <v>65</v>
      </c>
      <c r="I22" s="5">
        <v>45971</v>
      </c>
      <c r="J22" s="2">
        <v>155</v>
      </c>
      <c r="K22" s="2">
        <v>140</v>
      </c>
      <c r="L22" s="14">
        <v>4424145.0199999996</v>
      </c>
      <c r="M22" s="14" t="str">
        <f>IF(Table1[[#This Row],[Budget_ZAR]]="", "Missing", "Present")</f>
        <v>Present</v>
      </c>
      <c r="N22" s="14">
        <v>4677653.58</v>
      </c>
      <c r="O22" s="14" t="str">
        <f>IF(Table1[[#This Row],[Actual_Cost_ZAR]]="","Missing","Present")</f>
        <v>Present</v>
      </c>
      <c r="P22"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22" s="2">
        <v>10</v>
      </c>
      <c r="R22" s="2" t="s">
        <v>49</v>
      </c>
      <c r="S22" s="2" t="str" cm="1">
        <f t="array" ref="S22">IF(Table1[[#This Row],[Progress_Percent]]="unknown","Unknown",_xlfn.IFS(Table1[[#This Row],[Progress_Percent]]&lt;=10,"Planning",Table1[[#This Row],[Progress_Percent]]&lt;100, "In Progress",Table1[[#This Row],[Progress_Percent]]=100,"Completed"))</f>
        <v>Planning</v>
      </c>
      <c r="T22" s="2" t="str">
        <f>IF(Table1[[#This Row],[Progress_Percent]]="unknown","Unknown",IF(Table1[[#This Row],[Project_Status]]="On Hold","Review",IF(Table1[[#This Row],[Project_Status]]=Table1[[#This Row],[Project_Expected_Status]],"OK","Mismatch")))</f>
        <v>Mismatch</v>
      </c>
      <c r="U22" s="5">
        <v>46126</v>
      </c>
      <c r="V22">
        <f>Table1[[#This Row],[Actual_Duration_Days]]-Table1[[#This Row],[Planned_Duration_Days]]</f>
        <v>-15</v>
      </c>
      <c r="W22" t="str" cm="1">
        <f t="array" ref="W22">_xlfn.IFS(Table1[[#This Row],[Schedule_Variance]]&gt;0,"Behind Schedule",Table1[[#This Row],[Schedule_Variance]]&lt;0,"Ahead of Schedule",Table1[[#This Row],[Schedule_Variance]]=0,"On Schedule")</f>
        <v>Ahead of Schedule</v>
      </c>
      <c r="X22" s="26">
        <f>IF(OR(ISBLANK(Table1[[#This Row],[Actual_Cost_ZAR]])),"",Table1[[#This Row],[Actual_Cost_ZAR]]-Table1[[#This Row],[Budget_ZAR]])</f>
        <v>253508.56000000052</v>
      </c>
      <c r="Y22" s="9">
        <f>IF(OR(Table1[[#This Row],[Cost_Variance]]="",Table1[[#This Row],[Budget_ZAR]]=""),"",Table1[[#This Row],[Cost_Variance]]/Table1[[#This Row],[Budget_ZAR]])</f>
        <v>5.7301141543502243E-2</v>
      </c>
      <c r="Z22" t="str">
        <f>IF(OR(Table1[[#This Row],[Budget_ZAR]]="",Table1[[#This Row],[Actual_Cost_ZAR]]=""),"Missing Data",IF(Table1[[#This Row],[Cost_Variance]]&lt;0,"Under Budget",IF(Table1[[#This Row],[Cost_Variance]]=0,"On Budget","Over Budget")))</f>
        <v>Over Budget</v>
      </c>
      <c r="AA22" s="26">
        <f>IF(OR(ISBLANK(Table1[[#This Row],[Actual_Cost_ZAR]]),ISBLANK(Table1[[#This Row],[Budget_ZAR]])),0,Table1[[#This Row],[Actual_Cost_ZAR]]-Table1[[#This Row],[Budget_ZAR]])</f>
        <v>253508.56000000052</v>
      </c>
      <c r="AB22" s="9">
        <f>IF(OR(Table1[[#This Row],[Cost_Variance]]="",Table1[[#This Row],[Budget_ZAR]]=""),0,Table1[[#This Row],[Cost_Variance]]/Table1[[#This Row],[Budget_ZAR]])</f>
        <v>5.7301141543502243E-2</v>
      </c>
      <c r="AC22" t="str">
        <f>IF(Table1[[#This Row],[Last_Updated]] = "","Missing Date",IF(Table1[[#This Row],[Last_Updated]]=_xlfn.MAXIFS(Table1[Last_Updated],Table1[Project_ID],Table1[[#This Row],[Project_ID]]),"Latest","Older"))</f>
        <v>Latest</v>
      </c>
      <c r="AD22">
        <f>COUNTIFS(Table1[Project_ID],Table1[[#This Row],[Project_ID]],Table1[Last_Updated],"&gt;0")</f>
        <v>4</v>
      </c>
      <c r="AE22">
        <f>COUNTIFS(Table1[Project_ID],Table1[[#This Row],[Project_ID]],Table1[Latest_Record_Flag],"Latest")</f>
        <v>1</v>
      </c>
      <c r="AF22" t="str">
        <f>IF(Table1[[#This Row],[Latest_Count]]&gt;1,"Potential Duplicate -Review","Unique")</f>
        <v>Unique</v>
      </c>
      <c r="AG22" t="str">
        <f>IF(Table1[[#This Row],[Latest_Record_Flag]]&lt;&gt;"Latest","",IF(Table1[[#This Row],[Latest_Count]]&gt;1,"Review - Tied Latest Date", "OK"))</f>
        <v>OK</v>
      </c>
    </row>
    <row r="23" spans="1:33" x14ac:dyDescent="0.25">
      <c r="A23" s="2" t="s">
        <v>112</v>
      </c>
      <c r="B23" s="2" t="s">
        <v>113</v>
      </c>
      <c r="C23" s="2" t="s">
        <v>64</v>
      </c>
      <c r="D23" s="2" t="s">
        <v>37</v>
      </c>
      <c r="E23" s="2" t="s">
        <v>43</v>
      </c>
      <c r="F23" s="2" t="s">
        <v>59</v>
      </c>
      <c r="G23" s="2" t="s">
        <v>60</v>
      </c>
      <c r="H23" s="2" t="s">
        <v>65</v>
      </c>
      <c r="I23" s="5">
        <v>45833</v>
      </c>
      <c r="J23" s="2">
        <v>72</v>
      </c>
      <c r="K23" s="2">
        <v>100</v>
      </c>
      <c r="L23" s="14">
        <v>4213987.24</v>
      </c>
      <c r="M23" s="14" t="str">
        <f>IF(Table1[[#This Row],[Budget_ZAR]]="", "Missing", "Present")</f>
        <v>Present</v>
      </c>
      <c r="N23" s="14">
        <v>3843122.44</v>
      </c>
      <c r="O23" s="14" t="str">
        <f>IF(Table1[[#This Row],[Actual_Cost_ZAR]]="","Missing","Present")</f>
        <v>Present</v>
      </c>
      <c r="P23"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23" s="2">
        <v>100</v>
      </c>
      <c r="R23" s="2" t="s">
        <v>54</v>
      </c>
      <c r="S23" s="2" t="str" cm="1">
        <f t="array" ref="S23">IF(Table1[[#This Row],[Progress_Percent]]="unknown","Unknown",_xlfn.IFS(Table1[[#This Row],[Progress_Percent]]&lt;=10,"Planning",Table1[[#This Row],[Progress_Percent]]&lt;100, "In Progress",Table1[[#This Row],[Progress_Percent]]=100,"Completed"))</f>
        <v>Completed</v>
      </c>
      <c r="T23" s="2" t="str">
        <f>IF(Table1[[#This Row],[Progress_Percent]]="unknown","Unknown",IF(Table1[[#This Row],[Project_Status]]="On Hold","Review",IF(Table1[[#This Row],[Project_Status]]=Table1[[#This Row],[Project_Expected_Status]],"OK","Mismatch")))</f>
        <v>OK</v>
      </c>
      <c r="U23" s="5">
        <v>45867</v>
      </c>
      <c r="V23">
        <f>Table1[[#This Row],[Actual_Duration_Days]]-Table1[[#This Row],[Planned_Duration_Days]]</f>
        <v>28</v>
      </c>
      <c r="W23" t="str" cm="1">
        <f t="array" ref="W23">_xlfn.IFS(Table1[[#This Row],[Schedule_Variance]]&gt;0,"Behind Schedule",Table1[[#This Row],[Schedule_Variance]]&lt;0,"Ahead of Schedule",Table1[[#This Row],[Schedule_Variance]]=0,"On Schedule")</f>
        <v>Behind Schedule</v>
      </c>
      <c r="X23" s="26">
        <f>IF(OR(ISBLANK(Table1[[#This Row],[Actual_Cost_ZAR]])),"",Table1[[#This Row],[Actual_Cost_ZAR]]-Table1[[#This Row],[Budget_ZAR]])</f>
        <v>-370864.80000000028</v>
      </c>
      <c r="Y23" s="9">
        <f>IF(OR(Table1[[#This Row],[Cost_Variance]]="",Table1[[#This Row],[Budget_ZAR]]=""),"",Table1[[#This Row],[Cost_Variance]]/Table1[[#This Row],[Budget_ZAR]])</f>
        <v>-8.8008050067090435E-2</v>
      </c>
      <c r="Z23" t="str">
        <f>IF(OR(Table1[[#This Row],[Budget_ZAR]]="",Table1[[#This Row],[Actual_Cost_ZAR]]=""),"Missing Data",IF(Table1[[#This Row],[Cost_Variance]]&lt;0,"Under Budget",IF(Table1[[#This Row],[Cost_Variance]]=0,"On Budget","Over Budget")))</f>
        <v>Under Budget</v>
      </c>
      <c r="AA23" s="26">
        <f>IF(OR(ISBLANK(Table1[[#This Row],[Actual_Cost_ZAR]]),ISBLANK(Table1[[#This Row],[Budget_ZAR]])),0,Table1[[#This Row],[Actual_Cost_ZAR]]-Table1[[#This Row],[Budget_ZAR]])</f>
        <v>-370864.80000000028</v>
      </c>
      <c r="AB23" s="9">
        <f>IF(OR(Table1[[#This Row],[Cost_Variance]]="",Table1[[#This Row],[Budget_ZAR]]=""),0,Table1[[#This Row],[Cost_Variance]]/Table1[[#This Row],[Budget_ZAR]])</f>
        <v>-8.8008050067090435E-2</v>
      </c>
      <c r="AC23" t="str">
        <f>IF(Table1[[#This Row],[Last_Updated]] = "","Missing Date",IF(Table1[[#This Row],[Last_Updated]]=_xlfn.MAXIFS(Table1[Last_Updated],Table1[Project_ID],Table1[[#This Row],[Project_ID]]),"Latest","Older"))</f>
        <v>Older</v>
      </c>
      <c r="AD23">
        <f>COUNTIFS(Table1[Project_ID],Table1[[#This Row],[Project_ID]],Table1[Last_Updated],"&gt;0")</f>
        <v>3</v>
      </c>
      <c r="AE23">
        <f>COUNTIFS(Table1[Project_ID],Table1[[#This Row],[Project_ID]],Table1[Latest_Record_Flag],"Latest")</f>
        <v>1</v>
      </c>
      <c r="AF23" t="str">
        <f>IF(Table1[[#This Row],[Latest_Count]]&gt;1,"Potential Duplicate -Review","Unique")</f>
        <v>Unique</v>
      </c>
      <c r="AG23" t="str">
        <f>IF(Table1[[#This Row],[Latest_Record_Flag]]&lt;&gt;"Latest","",IF(Table1[[#This Row],[Latest_Count]]&gt;1,"Review - Tied Latest Date", "OK"))</f>
        <v/>
      </c>
    </row>
    <row r="24" spans="1:33" x14ac:dyDescent="0.25">
      <c r="A24" s="2" t="s">
        <v>114</v>
      </c>
      <c r="B24" s="2" t="s">
        <v>115</v>
      </c>
      <c r="C24" s="2" t="s">
        <v>116</v>
      </c>
      <c r="D24" s="2" t="s">
        <v>117</v>
      </c>
      <c r="E24" s="2" t="s">
        <v>68</v>
      </c>
      <c r="F24" s="2" t="s">
        <v>48</v>
      </c>
      <c r="G24" s="2" t="s">
        <v>22</v>
      </c>
      <c r="H24" s="2" t="s">
        <v>108</v>
      </c>
      <c r="I24" s="5">
        <v>45740</v>
      </c>
      <c r="J24" s="2">
        <v>133</v>
      </c>
      <c r="K24" s="2">
        <v>153</v>
      </c>
      <c r="L24" s="14">
        <v>4660421.54</v>
      </c>
      <c r="M24" s="14" t="str">
        <f>IF(Table1[[#This Row],[Budget_ZAR]]="", "Missing", "Present")</f>
        <v>Present</v>
      </c>
      <c r="N24" s="14">
        <v>4942160.0199999996</v>
      </c>
      <c r="O24" s="14" t="str">
        <f>IF(Table1[[#This Row],[Actual_Cost_ZAR]]="","Missing","Present")</f>
        <v>Present</v>
      </c>
      <c r="P24"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24" s="2">
        <v>10</v>
      </c>
      <c r="R24" s="2" t="s">
        <v>24</v>
      </c>
      <c r="S24" s="2" t="str" cm="1">
        <f t="array" ref="S24">IF(Table1[[#This Row],[Progress_Percent]]="unknown","Unknown",_xlfn.IFS(Table1[[#This Row],[Progress_Percent]]&lt;=10,"Planning",Table1[[#This Row],[Progress_Percent]]&lt;100, "In Progress",Table1[[#This Row],[Progress_Percent]]=100,"Completed"))</f>
        <v>Planning</v>
      </c>
      <c r="T24" s="2" t="str">
        <f>IF(Table1[[#This Row],[Progress_Percent]]="unknown","Unknown",IF(Table1[[#This Row],[Project_Status]]="On Hold","Review",IF(Table1[[#This Row],[Project_Status]]=Table1[[#This Row],[Project_Expected_Status]],"OK","Mismatch")))</f>
        <v>OK</v>
      </c>
      <c r="U24" s="5">
        <v>45773</v>
      </c>
      <c r="V24">
        <f>Table1[[#This Row],[Actual_Duration_Days]]-Table1[[#This Row],[Planned_Duration_Days]]</f>
        <v>20</v>
      </c>
      <c r="W24" t="str" cm="1">
        <f t="array" ref="W24">_xlfn.IFS(Table1[[#This Row],[Schedule_Variance]]&gt;0,"Behind Schedule",Table1[[#This Row],[Schedule_Variance]]&lt;0,"Ahead of Schedule",Table1[[#This Row],[Schedule_Variance]]=0,"On Schedule")</f>
        <v>Behind Schedule</v>
      </c>
      <c r="X24" s="26">
        <f>IF(OR(ISBLANK(Table1[[#This Row],[Actual_Cost_ZAR]])),"",Table1[[#This Row],[Actual_Cost_ZAR]]-Table1[[#This Row],[Budget_ZAR]])</f>
        <v>281738.47999999952</v>
      </c>
      <c r="Y24" s="9">
        <f>IF(OR(Table1[[#This Row],[Cost_Variance]]="",Table1[[#This Row],[Budget_ZAR]]=""),"",Table1[[#This Row],[Cost_Variance]]/Table1[[#This Row],[Budget_ZAR]])</f>
        <v>6.045343271673221E-2</v>
      </c>
      <c r="Z24" t="str">
        <f>IF(OR(Table1[[#This Row],[Budget_ZAR]]="",Table1[[#This Row],[Actual_Cost_ZAR]]=""),"Missing Data",IF(Table1[[#This Row],[Cost_Variance]]&lt;0,"Under Budget",IF(Table1[[#This Row],[Cost_Variance]]=0,"On Budget","Over Budget")))</f>
        <v>Over Budget</v>
      </c>
      <c r="AA24" s="26">
        <f>IF(OR(ISBLANK(Table1[[#This Row],[Actual_Cost_ZAR]]),ISBLANK(Table1[[#This Row],[Budget_ZAR]])),0,Table1[[#This Row],[Actual_Cost_ZAR]]-Table1[[#This Row],[Budget_ZAR]])</f>
        <v>281738.47999999952</v>
      </c>
      <c r="AB24" s="9">
        <f>IF(OR(Table1[[#This Row],[Cost_Variance]]="",Table1[[#This Row],[Budget_ZAR]]=""),0,Table1[[#This Row],[Cost_Variance]]/Table1[[#This Row],[Budget_ZAR]])</f>
        <v>6.045343271673221E-2</v>
      </c>
      <c r="AC24" t="str">
        <f>IF(Table1[[#This Row],[Last_Updated]] = "","Missing Date",IF(Table1[[#This Row],[Last_Updated]]=_xlfn.MAXIFS(Table1[Last_Updated],Table1[Project_ID],Table1[[#This Row],[Project_ID]]),"Latest","Older"))</f>
        <v>Older</v>
      </c>
      <c r="AD24">
        <f>COUNTIFS(Table1[Project_ID],Table1[[#This Row],[Project_ID]],Table1[Last_Updated],"&gt;0")</f>
        <v>3</v>
      </c>
      <c r="AE24">
        <f>COUNTIFS(Table1[Project_ID],Table1[[#This Row],[Project_ID]],Table1[Latest_Record_Flag],"Latest")</f>
        <v>1</v>
      </c>
      <c r="AF24" t="str">
        <f>IF(Table1[[#This Row],[Latest_Count]]&gt;1,"Potential Duplicate -Review","Unique")</f>
        <v>Unique</v>
      </c>
      <c r="AG24" t="str">
        <f>IF(Table1[[#This Row],[Latest_Record_Flag]]&lt;&gt;"Latest","",IF(Table1[[#This Row],[Latest_Count]]&gt;1,"Review - Tied Latest Date", "OK"))</f>
        <v/>
      </c>
    </row>
    <row r="25" spans="1:33" x14ac:dyDescent="0.25">
      <c r="A25" s="2" t="s">
        <v>118</v>
      </c>
      <c r="B25" s="2" t="s">
        <v>51</v>
      </c>
      <c r="C25" s="2" t="s">
        <v>79</v>
      </c>
      <c r="D25" s="2" t="s">
        <v>19</v>
      </c>
      <c r="E25" s="2" t="s">
        <v>43</v>
      </c>
      <c r="F25" s="2" t="s">
        <v>48</v>
      </c>
      <c r="G25" s="2" t="s">
        <v>76</v>
      </c>
      <c r="H25" s="2" t="s">
        <v>23</v>
      </c>
      <c r="I25" s="5">
        <v>45815</v>
      </c>
      <c r="J25" s="2">
        <v>113</v>
      </c>
      <c r="K25" s="2">
        <v>155</v>
      </c>
      <c r="L25" s="14">
        <v>6081800.0700000003</v>
      </c>
      <c r="M25" s="14" t="str">
        <f>IF(Table1[[#This Row],[Budget_ZAR]]="", "Missing", "Present")</f>
        <v>Present</v>
      </c>
      <c r="N25" s="14">
        <v>7700155.71</v>
      </c>
      <c r="O25" s="14" t="str">
        <f>IF(Table1[[#This Row],[Actual_Cost_ZAR]]="","Missing","Present")</f>
        <v>Present</v>
      </c>
      <c r="P25"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25" s="2"/>
      <c r="R25" s="2" t="s">
        <v>54</v>
      </c>
      <c r="S25" s="2" t="str" cm="1">
        <f t="array" ref="S25">IF(Table1[[#This Row],[Progress_Percent]]="unknown","Unknown",_xlfn.IFS(Table1[[#This Row],[Progress_Percent]]&lt;=10,"Planning",Table1[[#This Row],[Progress_Percent]]&lt;100, "In Progress",Table1[[#This Row],[Progress_Percent]]=100,"Completed"))</f>
        <v>Planning</v>
      </c>
      <c r="T25" s="2" t="str">
        <f>IF(Table1[[#This Row],[Progress_Percent]]="unknown","Unknown",IF(Table1[[#This Row],[Project_Status]]="On Hold","Review",IF(Table1[[#This Row],[Project_Status]]=Table1[[#This Row],[Project_Expected_Status]],"OK","Mismatch")))</f>
        <v>Mismatch</v>
      </c>
      <c r="U25" s="5">
        <v>45855</v>
      </c>
      <c r="V25">
        <f>Table1[[#This Row],[Actual_Duration_Days]]-Table1[[#This Row],[Planned_Duration_Days]]</f>
        <v>42</v>
      </c>
      <c r="W25" t="str" cm="1">
        <f t="array" ref="W25">_xlfn.IFS(Table1[[#This Row],[Schedule_Variance]]&gt;0,"Behind Schedule",Table1[[#This Row],[Schedule_Variance]]&lt;0,"Ahead of Schedule",Table1[[#This Row],[Schedule_Variance]]=0,"On Schedule")</f>
        <v>Behind Schedule</v>
      </c>
      <c r="X25" s="26">
        <f>IF(OR(ISBLANK(Table1[[#This Row],[Actual_Cost_ZAR]])),"",Table1[[#This Row],[Actual_Cost_ZAR]]-Table1[[#This Row],[Budget_ZAR]])</f>
        <v>1618355.6399999997</v>
      </c>
      <c r="Y25" s="9">
        <f>IF(OR(Table1[[#This Row],[Cost_Variance]]="",Table1[[#This Row],[Budget_ZAR]]=""),"",Table1[[#This Row],[Cost_Variance]]/Table1[[#This Row],[Budget_ZAR]])</f>
        <v>0.26609813235771157</v>
      </c>
      <c r="Z25" t="str">
        <f>IF(OR(Table1[[#This Row],[Budget_ZAR]]="",Table1[[#This Row],[Actual_Cost_ZAR]]=""),"Missing Data",IF(Table1[[#This Row],[Cost_Variance]]&lt;0,"Under Budget",IF(Table1[[#This Row],[Cost_Variance]]=0,"On Budget","Over Budget")))</f>
        <v>Over Budget</v>
      </c>
      <c r="AA25" s="26">
        <f>IF(OR(ISBLANK(Table1[[#This Row],[Actual_Cost_ZAR]]),ISBLANK(Table1[[#This Row],[Budget_ZAR]])),0,Table1[[#This Row],[Actual_Cost_ZAR]]-Table1[[#This Row],[Budget_ZAR]])</f>
        <v>1618355.6399999997</v>
      </c>
      <c r="AB25" s="9">
        <f>IF(OR(Table1[[#This Row],[Cost_Variance]]="",Table1[[#This Row],[Budget_ZAR]]=""),0,Table1[[#This Row],[Cost_Variance]]/Table1[[#This Row],[Budget_ZAR]])</f>
        <v>0.26609813235771157</v>
      </c>
      <c r="AC25" t="str">
        <f>IF(Table1[[#This Row],[Last_Updated]] = "","Missing Date",IF(Table1[[#This Row],[Last_Updated]]=_xlfn.MAXIFS(Table1[Last_Updated],Table1[Project_ID],Table1[[#This Row],[Project_ID]]),"Latest","Older"))</f>
        <v>Older</v>
      </c>
      <c r="AD25">
        <f>COUNTIFS(Table1[Project_ID],Table1[[#This Row],[Project_ID]],Table1[Last_Updated],"&gt;0")</f>
        <v>4</v>
      </c>
      <c r="AE25">
        <f>COUNTIFS(Table1[Project_ID],Table1[[#This Row],[Project_ID]],Table1[Latest_Record_Flag],"Latest")</f>
        <v>1</v>
      </c>
      <c r="AF25" t="str">
        <f>IF(Table1[[#This Row],[Latest_Count]]&gt;1,"Potential Duplicate -Review","Unique")</f>
        <v>Unique</v>
      </c>
      <c r="AG25" t="str">
        <f>IF(Table1[[#This Row],[Latest_Record_Flag]]&lt;&gt;"Latest","",IF(Table1[[#This Row],[Latest_Count]]&gt;1,"Review - Tied Latest Date", "OK"))</f>
        <v/>
      </c>
    </row>
    <row r="26" spans="1:33" x14ac:dyDescent="0.25">
      <c r="A26" s="2" t="s">
        <v>119</v>
      </c>
      <c r="B26" s="2" t="s">
        <v>120</v>
      </c>
      <c r="C26" s="2" t="s">
        <v>121</v>
      </c>
      <c r="D26" s="2" t="s">
        <v>19</v>
      </c>
      <c r="E26" s="2" t="s">
        <v>20</v>
      </c>
      <c r="F26" s="2" t="s">
        <v>44</v>
      </c>
      <c r="G26" s="2" t="s">
        <v>60</v>
      </c>
      <c r="H26" s="2" t="s">
        <v>108</v>
      </c>
      <c r="I26" s="5">
        <v>45741</v>
      </c>
      <c r="J26" s="2">
        <v>65</v>
      </c>
      <c r="K26" s="2">
        <v>106</v>
      </c>
      <c r="L26" s="14">
        <v>2826840.06</v>
      </c>
      <c r="M26" s="14" t="str">
        <f>IF(Table1[[#This Row],[Budget_ZAR]]="", "Missing", "Present")</f>
        <v>Present</v>
      </c>
      <c r="N26" s="14">
        <v>2458447.2000000002</v>
      </c>
      <c r="O26" s="14" t="str">
        <f>IF(Table1[[#This Row],[Actual_Cost_ZAR]]="","Missing","Present")</f>
        <v>Present</v>
      </c>
      <c r="P26"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26" s="2">
        <v>70</v>
      </c>
      <c r="R26" s="2" t="s">
        <v>33</v>
      </c>
      <c r="S26" s="2" t="str" cm="1">
        <f t="array" ref="S26">IF(Table1[[#This Row],[Progress_Percent]]="unknown","Unknown",_xlfn.IFS(Table1[[#This Row],[Progress_Percent]]&lt;=10,"Planning",Table1[[#This Row],[Progress_Percent]]&lt;100, "In Progress",Table1[[#This Row],[Progress_Percent]]=100,"Completed"))</f>
        <v>In Progress</v>
      </c>
      <c r="T26" s="2" t="str">
        <f>IF(Table1[[#This Row],[Progress_Percent]]="unknown","Unknown",IF(Table1[[#This Row],[Project_Status]]="On Hold","Review",IF(Table1[[#This Row],[Project_Status]]=Table1[[#This Row],[Project_Expected_Status]],"OK","Mismatch")))</f>
        <v>Review</v>
      </c>
      <c r="U26" s="5">
        <v>45798</v>
      </c>
      <c r="V26">
        <f>Table1[[#This Row],[Actual_Duration_Days]]-Table1[[#This Row],[Planned_Duration_Days]]</f>
        <v>41</v>
      </c>
      <c r="W26" t="str" cm="1">
        <f t="array" ref="W26">_xlfn.IFS(Table1[[#This Row],[Schedule_Variance]]&gt;0,"Behind Schedule",Table1[[#This Row],[Schedule_Variance]]&lt;0,"Ahead of Schedule",Table1[[#This Row],[Schedule_Variance]]=0,"On Schedule")</f>
        <v>Behind Schedule</v>
      </c>
      <c r="X26" s="26">
        <f>IF(OR(ISBLANK(Table1[[#This Row],[Actual_Cost_ZAR]])),"",Table1[[#This Row],[Actual_Cost_ZAR]]-Table1[[#This Row],[Budget_ZAR]])</f>
        <v>-368392.85999999987</v>
      </c>
      <c r="Y26" s="9">
        <f>IF(OR(Table1[[#This Row],[Cost_Variance]]="",Table1[[#This Row],[Budget_ZAR]]=""),"",Table1[[#This Row],[Cost_Variance]]/Table1[[#This Row],[Budget_ZAR]])</f>
        <v>-0.13031966866919237</v>
      </c>
      <c r="Z26" t="str">
        <f>IF(OR(Table1[[#This Row],[Budget_ZAR]]="",Table1[[#This Row],[Actual_Cost_ZAR]]=""),"Missing Data",IF(Table1[[#This Row],[Cost_Variance]]&lt;0,"Under Budget",IF(Table1[[#This Row],[Cost_Variance]]=0,"On Budget","Over Budget")))</f>
        <v>Under Budget</v>
      </c>
      <c r="AA26" s="26">
        <f>IF(OR(ISBLANK(Table1[[#This Row],[Actual_Cost_ZAR]]),ISBLANK(Table1[[#This Row],[Budget_ZAR]])),0,Table1[[#This Row],[Actual_Cost_ZAR]]-Table1[[#This Row],[Budget_ZAR]])</f>
        <v>-368392.85999999987</v>
      </c>
      <c r="AB26" s="9">
        <f>IF(OR(Table1[[#This Row],[Cost_Variance]]="",Table1[[#This Row],[Budget_ZAR]]=""),0,Table1[[#This Row],[Cost_Variance]]/Table1[[#This Row],[Budget_ZAR]])</f>
        <v>-0.13031966866919237</v>
      </c>
      <c r="AC26" t="str">
        <f>IF(Table1[[#This Row],[Last_Updated]] = "","Missing Date",IF(Table1[[#This Row],[Last_Updated]]=_xlfn.MAXIFS(Table1[Last_Updated],Table1[Project_ID],Table1[[#This Row],[Project_ID]]),"Latest","Older"))</f>
        <v>Older</v>
      </c>
      <c r="AD26">
        <f>COUNTIFS(Table1[Project_ID],Table1[[#This Row],[Project_ID]],Table1[Last_Updated],"&gt;0")</f>
        <v>3</v>
      </c>
      <c r="AE26">
        <f>COUNTIFS(Table1[Project_ID],Table1[[#This Row],[Project_ID]],Table1[Latest_Record_Flag],"Latest")</f>
        <v>1</v>
      </c>
      <c r="AF26" t="str">
        <f>IF(Table1[[#This Row],[Latest_Count]]&gt;1,"Potential Duplicate -Review","Unique")</f>
        <v>Unique</v>
      </c>
      <c r="AG26" t="str">
        <f>IF(Table1[[#This Row],[Latest_Record_Flag]]&lt;&gt;"Latest","",IF(Table1[[#This Row],[Latest_Count]]&gt;1,"Review - Tied Latest Date", "OK"))</f>
        <v/>
      </c>
    </row>
    <row r="27" spans="1:33" x14ac:dyDescent="0.25">
      <c r="A27" s="2" t="s">
        <v>123</v>
      </c>
      <c r="B27" s="2" t="s">
        <v>113</v>
      </c>
      <c r="C27" s="2" t="s">
        <v>124</v>
      </c>
      <c r="D27" s="2" t="s">
        <v>117</v>
      </c>
      <c r="E27" s="2" t="s">
        <v>43</v>
      </c>
      <c r="F27" s="2" t="s">
        <v>59</v>
      </c>
      <c r="G27" s="2" t="s">
        <v>31</v>
      </c>
      <c r="H27" s="2" t="s">
        <v>65</v>
      </c>
      <c r="I27" s="5">
        <v>45893</v>
      </c>
      <c r="J27" s="2">
        <v>109</v>
      </c>
      <c r="K27" s="2">
        <v>113</v>
      </c>
      <c r="L27" s="14">
        <v>5378352.3799999999</v>
      </c>
      <c r="M27" s="14" t="str">
        <f>IF(Table1[[#This Row],[Budget_ZAR]]="", "Missing", "Present")</f>
        <v>Present</v>
      </c>
      <c r="N27" s="14">
        <v>6538256.0199999996</v>
      </c>
      <c r="O27" s="14" t="str">
        <f>IF(Table1[[#This Row],[Actual_Cost_ZAR]]="","Missing","Present")</f>
        <v>Present</v>
      </c>
      <c r="P27"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27" s="2">
        <v>40</v>
      </c>
      <c r="R27" s="2" t="s">
        <v>24</v>
      </c>
      <c r="S27" s="2" t="str" cm="1">
        <f t="array" ref="S27">IF(Table1[[#This Row],[Progress_Percent]]="unknown","Unknown",_xlfn.IFS(Table1[[#This Row],[Progress_Percent]]&lt;=10,"Planning",Table1[[#This Row],[Progress_Percent]]&lt;100, "In Progress",Table1[[#This Row],[Progress_Percent]]=100,"Completed"))</f>
        <v>In Progress</v>
      </c>
      <c r="T27" s="2" t="str">
        <f>IF(Table1[[#This Row],[Progress_Percent]]="unknown","Unknown",IF(Table1[[#This Row],[Project_Status]]="On Hold","Review",IF(Table1[[#This Row],[Project_Status]]=Table1[[#This Row],[Project_Expected_Status]],"OK","Mismatch")))</f>
        <v>Mismatch</v>
      </c>
      <c r="U27" s="5"/>
      <c r="V27">
        <f>Table1[[#This Row],[Actual_Duration_Days]]-Table1[[#This Row],[Planned_Duration_Days]]</f>
        <v>4</v>
      </c>
      <c r="W27" t="str" cm="1">
        <f t="array" ref="W27">_xlfn.IFS(Table1[[#This Row],[Schedule_Variance]]&gt;0,"Behind Schedule",Table1[[#This Row],[Schedule_Variance]]&lt;0,"Ahead of Schedule",Table1[[#This Row],[Schedule_Variance]]=0,"On Schedule")</f>
        <v>Behind Schedule</v>
      </c>
      <c r="X27" s="26">
        <f>IF(OR(ISBLANK(Table1[[#This Row],[Actual_Cost_ZAR]])),"",Table1[[#This Row],[Actual_Cost_ZAR]]-Table1[[#This Row],[Budget_ZAR]])</f>
        <v>1159903.6399999997</v>
      </c>
      <c r="Y27" s="9">
        <f>IF(OR(Table1[[#This Row],[Cost_Variance]]="",Table1[[#This Row],[Budget_ZAR]]=""),"",Table1[[#This Row],[Cost_Variance]]/Table1[[#This Row],[Budget_ZAR]])</f>
        <v>0.2156615182584968</v>
      </c>
      <c r="Z27" t="str">
        <f>IF(OR(Table1[[#This Row],[Budget_ZAR]]="",Table1[[#This Row],[Actual_Cost_ZAR]]=""),"Missing Data",IF(Table1[[#This Row],[Cost_Variance]]&lt;0,"Under Budget",IF(Table1[[#This Row],[Cost_Variance]]=0,"On Budget","Over Budget")))</f>
        <v>Over Budget</v>
      </c>
      <c r="AA27" s="26">
        <f>IF(OR(ISBLANK(Table1[[#This Row],[Actual_Cost_ZAR]]),ISBLANK(Table1[[#This Row],[Budget_ZAR]])),0,Table1[[#This Row],[Actual_Cost_ZAR]]-Table1[[#This Row],[Budget_ZAR]])</f>
        <v>1159903.6399999997</v>
      </c>
      <c r="AB27" s="9">
        <f>IF(OR(Table1[[#This Row],[Cost_Variance]]="",Table1[[#This Row],[Budget_ZAR]]=""),0,Table1[[#This Row],[Cost_Variance]]/Table1[[#This Row],[Budget_ZAR]])</f>
        <v>0.2156615182584968</v>
      </c>
      <c r="AC27" t="str">
        <f>IF(Table1[[#This Row],[Last_Updated]] = "","Missing Date",IF(Table1[[#This Row],[Last_Updated]]=_xlfn.MAXIFS(Table1[Last_Updated],Table1[Project_ID],Table1[[#This Row],[Project_ID]]),"Latest","Older"))</f>
        <v>Missing Date</v>
      </c>
      <c r="AD27">
        <f>COUNTIFS(Table1[Project_ID],Table1[[#This Row],[Project_ID]],Table1[Last_Updated],"&gt;0")</f>
        <v>3</v>
      </c>
      <c r="AE27">
        <f>COUNTIFS(Table1[Project_ID],Table1[[#This Row],[Project_ID]],Table1[Latest_Record_Flag],"Latest")</f>
        <v>1</v>
      </c>
      <c r="AF27" t="str">
        <f>IF(Table1[[#This Row],[Latest_Count]]&gt;1,"Potential Duplicate -Review","Unique")</f>
        <v>Unique</v>
      </c>
      <c r="AG27" t="str">
        <f>IF(Table1[[#This Row],[Latest_Record_Flag]]&lt;&gt;"Latest","",IF(Table1[[#This Row],[Latest_Count]]&gt;1,"Review - Tied Latest Date", "OK"))</f>
        <v/>
      </c>
    </row>
    <row r="28" spans="1:33" x14ac:dyDescent="0.25">
      <c r="A28" s="2" t="s">
        <v>125</v>
      </c>
      <c r="B28" s="2" t="s">
        <v>126</v>
      </c>
      <c r="C28" s="2" t="s">
        <v>27</v>
      </c>
      <c r="D28" s="2" t="s">
        <v>19</v>
      </c>
      <c r="E28" s="2" t="s">
        <v>68</v>
      </c>
      <c r="F28" s="2" t="s">
        <v>44</v>
      </c>
      <c r="G28" s="2" t="s">
        <v>31</v>
      </c>
      <c r="H28" s="2" t="s">
        <v>38</v>
      </c>
      <c r="I28" s="5">
        <v>45862</v>
      </c>
      <c r="J28" s="2">
        <v>157</v>
      </c>
      <c r="K28" s="2">
        <v>163</v>
      </c>
      <c r="L28" s="14">
        <v>6120232.1299999999</v>
      </c>
      <c r="M28" s="14" t="str">
        <f>IF(Table1[[#This Row],[Budget_ZAR]]="", "Missing", "Present")</f>
        <v>Present</v>
      </c>
      <c r="N28" s="14">
        <v>5126740.21</v>
      </c>
      <c r="O28" s="14" t="str">
        <f>IF(Table1[[#This Row],[Actual_Cost_ZAR]]="","Missing","Present")</f>
        <v>Present</v>
      </c>
      <c r="P28"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28" s="2">
        <v>55</v>
      </c>
      <c r="R28" s="2" t="s">
        <v>49</v>
      </c>
      <c r="S28" s="2" t="str" cm="1">
        <f t="array" ref="S28">IF(Table1[[#This Row],[Progress_Percent]]="unknown","Unknown",_xlfn.IFS(Table1[[#This Row],[Progress_Percent]]&lt;=10,"Planning",Table1[[#This Row],[Progress_Percent]]&lt;100, "In Progress",Table1[[#This Row],[Progress_Percent]]=100,"Completed"))</f>
        <v>In Progress</v>
      </c>
      <c r="T28" s="2" t="str">
        <f>IF(Table1[[#This Row],[Progress_Percent]]="unknown","Unknown",IF(Table1[[#This Row],[Project_Status]]="On Hold","Review",IF(Table1[[#This Row],[Project_Status]]=Table1[[#This Row],[Project_Expected_Status]],"OK","Mismatch")))</f>
        <v>OK</v>
      </c>
      <c r="U28" s="5">
        <v>45943</v>
      </c>
      <c r="V28">
        <f>Table1[[#This Row],[Actual_Duration_Days]]-Table1[[#This Row],[Planned_Duration_Days]]</f>
        <v>6</v>
      </c>
      <c r="W28" t="str" cm="1">
        <f t="array" ref="W28">_xlfn.IFS(Table1[[#This Row],[Schedule_Variance]]&gt;0,"Behind Schedule",Table1[[#This Row],[Schedule_Variance]]&lt;0,"Ahead of Schedule",Table1[[#This Row],[Schedule_Variance]]=0,"On Schedule")</f>
        <v>Behind Schedule</v>
      </c>
      <c r="X28" s="26">
        <f>IF(OR(ISBLANK(Table1[[#This Row],[Actual_Cost_ZAR]])),"",Table1[[#This Row],[Actual_Cost_ZAR]]-Table1[[#This Row],[Budget_ZAR]])</f>
        <v>-993491.91999999993</v>
      </c>
      <c r="Y28" s="9">
        <f>IF(OR(Table1[[#This Row],[Cost_Variance]]="",Table1[[#This Row],[Budget_ZAR]]=""),"",Table1[[#This Row],[Cost_Variance]]/Table1[[#This Row],[Budget_ZAR]])</f>
        <v>-0.1623291239445194</v>
      </c>
      <c r="Z28" t="str">
        <f>IF(OR(Table1[[#This Row],[Budget_ZAR]]="",Table1[[#This Row],[Actual_Cost_ZAR]]=""),"Missing Data",IF(Table1[[#This Row],[Cost_Variance]]&lt;0,"Under Budget",IF(Table1[[#This Row],[Cost_Variance]]=0,"On Budget","Over Budget")))</f>
        <v>Under Budget</v>
      </c>
      <c r="AA28" s="26">
        <f>IF(OR(ISBLANK(Table1[[#This Row],[Actual_Cost_ZAR]]),ISBLANK(Table1[[#This Row],[Budget_ZAR]])),0,Table1[[#This Row],[Actual_Cost_ZAR]]-Table1[[#This Row],[Budget_ZAR]])</f>
        <v>-993491.91999999993</v>
      </c>
      <c r="AB28" s="9">
        <f>IF(OR(Table1[[#This Row],[Cost_Variance]]="",Table1[[#This Row],[Budget_ZAR]]=""),0,Table1[[#This Row],[Cost_Variance]]/Table1[[#This Row],[Budget_ZAR]])</f>
        <v>-0.1623291239445194</v>
      </c>
      <c r="AC28" t="str">
        <f>IF(Table1[[#This Row],[Last_Updated]] = "","Missing Date",IF(Table1[[#This Row],[Last_Updated]]=_xlfn.MAXIFS(Table1[Last_Updated],Table1[Project_ID],Table1[[#This Row],[Project_ID]]),"Latest","Older"))</f>
        <v>Older</v>
      </c>
      <c r="AD28">
        <f>COUNTIFS(Table1[Project_ID],Table1[[#This Row],[Project_ID]],Table1[Last_Updated],"&gt;0")</f>
        <v>5</v>
      </c>
      <c r="AE28">
        <f>COUNTIFS(Table1[Project_ID],Table1[[#This Row],[Project_ID]],Table1[Latest_Record_Flag],"Latest")</f>
        <v>1</v>
      </c>
      <c r="AF28" t="str">
        <f>IF(Table1[[#This Row],[Latest_Count]]&gt;1,"Potential Duplicate -Review","Unique")</f>
        <v>Unique</v>
      </c>
      <c r="AG28" t="str">
        <f>IF(Table1[[#This Row],[Latest_Record_Flag]]&lt;&gt;"Latest","",IF(Table1[[#This Row],[Latest_Count]]&gt;1,"Review - Tied Latest Date", "OK"))</f>
        <v/>
      </c>
    </row>
    <row r="29" spans="1:33" x14ac:dyDescent="0.25">
      <c r="A29" s="2" t="s">
        <v>127</v>
      </c>
      <c r="B29" s="2" t="s">
        <v>83</v>
      </c>
      <c r="C29" s="2" t="s">
        <v>18</v>
      </c>
      <c r="D29" s="2" t="s">
        <v>58</v>
      </c>
      <c r="E29" s="2" t="s">
        <v>68</v>
      </c>
      <c r="F29" s="2" t="s">
        <v>265</v>
      </c>
      <c r="G29" s="2" t="s">
        <v>31</v>
      </c>
      <c r="H29" s="2" t="s">
        <v>108</v>
      </c>
      <c r="I29" s="5">
        <v>45968</v>
      </c>
      <c r="J29" s="2">
        <v>150</v>
      </c>
      <c r="K29" s="2">
        <v>142</v>
      </c>
      <c r="L29" s="14">
        <v>2657471.46</v>
      </c>
      <c r="M29" s="14" t="str">
        <f>IF(Table1[[#This Row],[Budget_ZAR]]="", "Missing", "Present")</f>
        <v>Present</v>
      </c>
      <c r="N29" s="14">
        <v>2838960.87</v>
      </c>
      <c r="O29" s="14" t="str">
        <f>IF(Table1[[#This Row],[Actual_Cost_ZAR]]="","Missing","Present")</f>
        <v>Present</v>
      </c>
      <c r="P29"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29" s="2">
        <v>55</v>
      </c>
      <c r="R29" s="2" t="s">
        <v>24</v>
      </c>
      <c r="S29" s="2" t="str" cm="1">
        <f t="array" ref="S29">IF(Table1[[#This Row],[Progress_Percent]]="unknown","Unknown",_xlfn.IFS(Table1[[#This Row],[Progress_Percent]]&lt;=10,"Planning",Table1[[#This Row],[Progress_Percent]]&lt;100, "In Progress",Table1[[#This Row],[Progress_Percent]]=100,"Completed"))</f>
        <v>In Progress</v>
      </c>
      <c r="T29" s="2" t="str">
        <f>IF(Table1[[#This Row],[Progress_Percent]]="unknown","Unknown",IF(Table1[[#This Row],[Project_Status]]="On Hold","Review",IF(Table1[[#This Row],[Project_Status]]=Table1[[#This Row],[Project_Expected_Status]],"OK","Mismatch")))</f>
        <v>Mismatch</v>
      </c>
      <c r="U29" s="5">
        <v>45986</v>
      </c>
      <c r="V29">
        <f>Table1[[#This Row],[Actual_Duration_Days]]-Table1[[#This Row],[Planned_Duration_Days]]</f>
        <v>-8</v>
      </c>
      <c r="W29" t="str" cm="1">
        <f t="array" ref="W29">_xlfn.IFS(Table1[[#This Row],[Schedule_Variance]]&gt;0,"Behind Schedule",Table1[[#This Row],[Schedule_Variance]]&lt;0,"Ahead of Schedule",Table1[[#This Row],[Schedule_Variance]]=0,"On Schedule")</f>
        <v>Ahead of Schedule</v>
      </c>
      <c r="X29" s="26">
        <f>IF(OR(ISBLANK(Table1[[#This Row],[Actual_Cost_ZAR]])),"",Table1[[#This Row],[Actual_Cost_ZAR]]-Table1[[#This Row],[Budget_ZAR]])</f>
        <v>181489.41000000015</v>
      </c>
      <c r="Y29" s="9">
        <f>IF(OR(Table1[[#This Row],[Cost_Variance]]="",Table1[[#This Row],[Budget_ZAR]]=""),"",Table1[[#This Row],[Cost_Variance]]/Table1[[#This Row],[Budget_ZAR]])</f>
        <v>6.8294020361746477E-2</v>
      </c>
      <c r="Z29" t="str">
        <f>IF(OR(Table1[[#This Row],[Budget_ZAR]]="",Table1[[#This Row],[Actual_Cost_ZAR]]=""),"Missing Data",IF(Table1[[#This Row],[Cost_Variance]]&lt;0,"Under Budget",IF(Table1[[#This Row],[Cost_Variance]]=0,"On Budget","Over Budget")))</f>
        <v>Over Budget</v>
      </c>
      <c r="AA29" s="26">
        <f>IF(OR(ISBLANK(Table1[[#This Row],[Actual_Cost_ZAR]]),ISBLANK(Table1[[#This Row],[Budget_ZAR]])),0,Table1[[#This Row],[Actual_Cost_ZAR]]-Table1[[#This Row],[Budget_ZAR]])</f>
        <v>181489.41000000015</v>
      </c>
      <c r="AB29" s="9">
        <f>IF(OR(Table1[[#This Row],[Cost_Variance]]="",Table1[[#This Row],[Budget_ZAR]]=""),0,Table1[[#This Row],[Cost_Variance]]/Table1[[#This Row],[Budget_ZAR]])</f>
        <v>6.8294020361746477E-2</v>
      </c>
      <c r="AC29" t="str">
        <f>IF(Table1[[#This Row],[Last_Updated]] = "","Missing Date",IF(Table1[[#This Row],[Last_Updated]]=_xlfn.MAXIFS(Table1[Last_Updated],Table1[Project_ID],Table1[[#This Row],[Project_ID]]),"Latest","Older"))</f>
        <v>Latest</v>
      </c>
      <c r="AD29">
        <f>COUNTIFS(Table1[Project_ID],Table1[[#This Row],[Project_ID]],Table1[Last_Updated],"&gt;0")</f>
        <v>3</v>
      </c>
      <c r="AE29">
        <f>COUNTIFS(Table1[Project_ID],Table1[[#This Row],[Project_ID]],Table1[Latest_Record_Flag],"Latest")</f>
        <v>1</v>
      </c>
      <c r="AF29" t="str">
        <f>IF(Table1[[#This Row],[Latest_Count]]&gt;1,"Potential Duplicate -Review","Unique")</f>
        <v>Unique</v>
      </c>
      <c r="AG29" t="str">
        <f>IF(Table1[[#This Row],[Latest_Record_Flag]]&lt;&gt;"Latest","",IF(Table1[[#This Row],[Latest_Count]]&gt;1,"Review - Tied Latest Date", "OK"))</f>
        <v>OK</v>
      </c>
    </row>
    <row r="30" spans="1:33" x14ac:dyDescent="0.25">
      <c r="A30" s="2" t="s">
        <v>128</v>
      </c>
      <c r="B30" s="2" t="s">
        <v>35</v>
      </c>
      <c r="C30" s="2" t="s">
        <v>84</v>
      </c>
      <c r="D30" s="2" t="s">
        <v>37</v>
      </c>
      <c r="E30" s="2" t="s">
        <v>43</v>
      </c>
      <c r="F30" s="2" t="s">
        <v>48</v>
      </c>
      <c r="G30" s="2" t="s">
        <v>22</v>
      </c>
      <c r="H30" s="2" t="s">
        <v>32</v>
      </c>
      <c r="I30" s="5">
        <v>45977</v>
      </c>
      <c r="J30" s="2">
        <v>100</v>
      </c>
      <c r="K30" s="2">
        <v>127</v>
      </c>
      <c r="L30" s="14">
        <v>5550095.5</v>
      </c>
      <c r="M30" s="14" t="str">
        <f>IF(Table1[[#This Row],[Budget_ZAR]]="", "Missing", "Present")</f>
        <v>Present</v>
      </c>
      <c r="N30" s="14">
        <v>6326426.9400000004</v>
      </c>
      <c r="O30" s="14" t="str">
        <f>IF(Table1[[#This Row],[Actual_Cost_ZAR]]="","Missing","Present")</f>
        <v>Present</v>
      </c>
      <c r="P30"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30" s="2">
        <v>55</v>
      </c>
      <c r="R30" s="2" t="s">
        <v>54</v>
      </c>
      <c r="S30" s="2" t="str" cm="1">
        <f t="array" ref="S30">IF(Table1[[#This Row],[Progress_Percent]]="unknown","Unknown",_xlfn.IFS(Table1[[#This Row],[Progress_Percent]]&lt;=10,"Planning",Table1[[#This Row],[Progress_Percent]]&lt;100, "In Progress",Table1[[#This Row],[Progress_Percent]]=100,"Completed"))</f>
        <v>In Progress</v>
      </c>
      <c r="T30" s="2" t="str">
        <f>IF(Table1[[#This Row],[Progress_Percent]]="unknown","Unknown",IF(Table1[[#This Row],[Project_Status]]="On Hold","Review",IF(Table1[[#This Row],[Project_Status]]=Table1[[#This Row],[Project_Expected_Status]],"OK","Mismatch")))</f>
        <v>Mismatch</v>
      </c>
      <c r="U30" s="5">
        <v>46085</v>
      </c>
      <c r="V30">
        <f>Table1[[#This Row],[Actual_Duration_Days]]-Table1[[#This Row],[Planned_Duration_Days]]</f>
        <v>27</v>
      </c>
      <c r="W30" t="str" cm="1">
        <f t="array" ref="W30">_xlfn.IFS(Table1[[#This Row],[Schedule_Variance]]&gt;0,"Behind Schedule",Table1[[#This Row],[Schedule_Variance]]&lt;0,"Ahead of Schedule",Table1[[#This Row],[Schedule_Variance]]=0,"On Schedule")</f>
        <v>Behind Schedule</v>
      </c>
      <c r="X30" s="26">
        <f>IF(OR(ISBLANK(Table1[[#This Row],[Actual_Cost_ZAR]])),"",Table1[[#This Row],[Actual_Cost_ZAR]]-Table1[[#This Row],[Budget_ZAR]])</f>
        <v>776331.44000000041</v>
      </c>
      <c r="Y30" s="9">
        <f>IF(OR(Table1[[#This Row],[Cost_Variance]]="",Table1[[#This Row],[Budget_ZAR]]=""),"",Table1[[#This Row],[Cost_Variance]]/Table1[[#This Row],[Budget_ZAR]])</f>
        <v>0.13987713184394762</v>
      </c>
      <c r="Z30" t="str">
        <f>IF(OR(Table1[[#This Row],[Budget_ZAR]]="",Table1[[#This Row],[Actual_Cost_ZAR]]=""),"Missing Data",IF(Table1[[#This Row],[Cost_Variance]]&lt;0,"Under Budget",IF(Table1[[#This Row],[Cost_Variance]]=0,"On Budget","Over Budget")))</f>
        <v>Over Budget</v>
      </c>
      <c r="AA30" s="26">
        <f>IF(OR(ISBLANK(Table1[[#This Row],[Actual_Cost_ZAR]]),ISBLANK(Table1[[#This Row],[Budget_ZAR]])),0,Table1[[#This Row],[Actual_Cost_ZAR]]-Table1[[#This Row],[Budget_ZAR]])</f>
        <v>776331.44000000041</v>
      </c>
      <c r="AB30" s="9">
        <f>IF(OR(Table1[[#This Row],[Cost_Variance]]="",Table1[[#This Row],[Budget_ZAR]]=""),0,Table1[[#This Row],[Cost_Variance]]/Table1[[#This Row],[Budget_ZAR]])</f>
        <v>0.13987713184394762</v>
      </c>
      <c r="AC30" t="str">
        <f>IF(Table1[[#This Row],[Last_Updated]] = "","Missing Date",IF(Table1[[#This Row],[Last_Updated]]=_xlfn.MAXIFS(Table1[Last_Updated],Table1[Project_ID],Table1[[#This Row],[Project_ID]]),"Latest","Older"))</f>
        <v>Latest</v>
      </c>
      <c r="AD30">
        <f>COUNTIFS(Table1[Project_ID],Table1[[#This Row],[Project_ID]],Table1[Last_Updated],"&gt;0")</f>
        <v>6</v>
      </c>
      <c r="AE30">
        <f>COUNTIFS(Table1[Project_ID],Table1[[#This Row],[Project_ID]],Table1[Latest_Record_Flag],"Latest")</f>
        <v>1</v>
      </c>
      <c r="AF30" t="str">
        <f>IF(Table1[[#This Row],[Latest_Count]]&gt;1,"Potential Duplicate -Review","Unique")</f>
        <v>Unique</v>
      </c>
      <c r="AG30" t="str">
        <f>IF(Table1[[#This Row],[Latest_Record_Flag]]&lt;&gt;"Latest","",IF(Table1[[#This Row],[Latest_Count]]&gt;1,"Review - Tied Latest Date", "OK"))</f>
        <v>OK</v>
      </c>
    </row>
    <row r="31" spans="1:33" x14ac:dyDescent="0.25">
      <c r="A31" s="2" t="s">
        <v>130</v>
      </c>
      <c r="B31" s="2" t="s">
        <v>131</v>
      </c>
      <c r="C31" s="2" t="s">
        <v>132</v>
      </c>
      <c r="D31" s="2" t="s">
        <v>117</v>
      </c>
      <c r="E31" s="2" t="s">
        <v>68</v>
      </c>
      <c r="F31" s="2" t="s">
        <v>48</v>
      </c>
      <c r="G31" s="2" t="s">
        <v>31</v>
      </c>
      <c r="H31" s="2" t="s">
        <v>108</v>
      </c>
      <c r="I31" s="5">
        <v>45747</v>
      </c>
      <c r="J31" s="2">
        <v>177</v>
      </c>
      <c r="K31" s="2">
        <v>198</v>
      </c>
      <c r="L31" s="14">
        <v>2130936.7200000002</v>
      </c>
      <c r="M31" s="14" t="str">
        <f>IF(Table1[[#This Row],[Budget_ZAR]]="", "Missing", "Present")</f>
        <v>Present</v>
      </c>
      <c r="N31" s="14">
        <v>2245940.41</v>
      </c>
      <c r="O31" s="14" t="str">
        <f>IF(Table1[[#This Row],[Actual_Cost_ZAR]]="","Missing","Present")</f>
        <v>Present</v>
      </c>
      <c r="P31"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31" s="2">
        <v>0</v>
      </c>
      <c r="R31" s="2" t="s">
        <v>33</v>
      </c>
      <c r="S31" s="2" t="str" cm="1">
        <f t="array" ref="S31">IF(Table1[[#This Row],[Progress_Percent]]="unknown","Unknown",_xlfn.IFS(Table1[[#This Row],[Progress_Percent]]&lt;=10,"Planning",Table1[[#This Row],[Progress_Percent]]&lt;100, "In Progress",Table1[[#This Row],[Progress_Percent]]=100,"Completed"))</f>
        <v>Planning</v>
      </c>
      <c r="T31" s="2" t="str">
        <f>IF(Table1[[#This Row],[Progress_Percent]]="unknown","Unknown",IF(Table1[[#This Row],[Project_Status]]="On Hold","Review",IF(Table1[[#This Row],[Project_Status]]=Table1[[#This Row],[Project_Expected_Status]],"OK","Mismatch")))</f>
        <v>Review</v>
      </c>
      <c r="U31" s="5">
        <v>45861</v>
      </c>
      <c r="V31">
        <f>Table1[[#This Row],[Actual_Duration_Days]]-Table1[[#This Row],[Planned_Duration_Days]]</f>
        <v>21</v>
      </c>
      <c r="W31" t="str" cm="1">
        <f t="array" ref="W31">_xlfn.IFS(Table1[[#This Row],[Schedule_Variance]]&gt;0,"Behind Schedule",Table1[[#This Row],[Schedule_Variance]]&lt;0,"Ahead of Schedule",Table1[[#This Row],[Schedule_Variance]]=0,"On Schedule")</f>
        <v>Behind Schedule</v>
      </c>
      <c r="X31" s="26">
        <f>IF(OR(ISBLANK(Table1[[#This Row],[Actual_Cost_ZAR]])),"",Table1[[#This Row],[Actual_Cost_ZAR]]-Table1[[#This Row],[Budget_ZAR]])</f>
        <v>115003.68999999994</v>
      </c>
      <c r="Y31" s="9">
        <f>IF(OR(Table1[[#This Row],[Cost_Variance]]="",Table1[[#This Row],[Budget_ZAR]]=""),"",Table1[[#This Row],[Cost_Variance]]/Table1[[#This Row],[Budget_ZAR]])</f>
        <v>5.396860869711792E-2</v>
      </c>
      <c r="Z31" t="str">
        <f>IF(OR(Table1[[#This Row],[Budget_ZAR]]="",Table1[[#This Row],[Actual_Cost_ZAR]]=""),"Missing Data",IF(Table1[[#This Row],[Cost_Variance]]&lt;0,"Under Budget",IF(Table1[[#This Row],[Cost_Variance]]=0,"On Budget","Over Budget")))</f>
        <v>Over Budget</v>
      </c>
      <c r="AA31" s="26">
        <f>IF(OR(ISBLANK(Table1[[#This Row],[Actual_Cost_ZAR]]),ISBLANK(Table1[[#This Row],[Budget_ZAR]])),0,Table1[[#This Row],[Actual_Cost_ZAR]]-Table1[[#This Row],[Budget_ZAR]])</f>
        <v>115003.68999999994</v>
      </c>
      <c r="AB31" s="9">
        <f>IF(OR(Table1[[#This Row],[Cost_Variance]]="",Table1[[#This Row],[Budget_ZAR]]=""),0,Table1[[#This Row],[Cost_Variance]]/Table1[[#This Row],[Budget_ZAR]])</f>
        <v>5.396860869711792E-2</v>
      </c>
      <c r="AC31" t="str">
        <f>IF(Table1[[#This Row],[Last_Updated]] = "","Missing Date",IF(Table1[[#This Row],[Last_Updated]]=_xlfn.MAXIFS(Table1[Last_Updated],Table1[Project_ID],Table1[[#This Row],[Project_ID]]),"Latest","Older"))</f>
        <v>Older</v>
      </c>
      <c r="AD31">
        <f>COUNTIFS(Table1[Project_ID],Table1[[#This Row],[Project_ID]],Table1[Last_Updated],"&gt;0")</f>
        <v>7</v>
      </c>
      <c r="AE31">
        <f>COUNTIFS(Table1[Project_ID],Table1[[#This Row],[Project_ID]],Table1[Latest_Record_Flag],"Latest")</f>
        <v>1</v>
      </c>
      <c r="AF31" t="str">
        <f>IF(Table1[[#This Row],[Latest_Count]]&gt;1,"Potential Duplicate -Review","Unique")</f>
        <v>Unique</v>
      </c>
      <c r="AG31" t="str">
        <f>IF(Table1[[#This Row],[Latest_Record_Flag]]&lt;&gt;"Latest","",IF(Table1[[#This Row],[Latest_Count]]&gt;1,"Review - Tied Latest Date", "OK"))</f>
        <v/>
      </c>
    </row>
    <row r="32" spans="1:33" x14ac:dyDescent="0.25">
      <c r="A32" s="2" t="s">
        <v>134</v>
      </c>
      <c r="B32" s="2" t="s">
        <v>106</v>
      </c>
      <c r="C32" s="2" t="s">
        <v>135</v>
      </c>
      <c r="D32" s="2" t="s">
        <v>328</v>
      </c>
      <c r="E32" s="2" t="s">
        <v>85</v>
      </c>
      <c r="F32" s="2" t="s">
        <v>30</v>
      </c>
      <c r="G32" s="2" t="s">
        <v>280</v>
      </c>
      <c r="H32" s="2" t="s">
        <v>32</v>
      </c>
      <c r="I32" s="5">
        <v>45767</v>
      </c>
      <c r="J32" s="2">
        <v>150</v>
      </c>
      <c r="K32" s="2">
        <v>165</v>
      </c>
      <c r="L32" s="14">
        <v>5210846.24</v>
      </c>
      <c r="M32" s="14" t="str">
        <f>IF(Table1[[#This Row],[Budget_ZAR]]="", "Missing", "Present")</f>
        <v>Present</v>
      </c>
      <c r="N32" s="14"/>
      <c r="O32" s="14" t="str">
        <f>IF(Table1[[#This Row],[Actual_Cost_ZAR]]="","Missing","Present")</f>
        <v>Missing</v>
      </c>
      <c r="P32"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Actual Cost Missing</v>
      </c>
      <c r="Q32" s="2">
        <v>75</v>
      </c>
      <c r="R32" s="2" t="s">
        <v>24</v>
      </c>
      <c r="S32" s="2" t="str" cm="1">
        <f t="array" ref="S32">IF(Table1[[#This Row],[Progress_Percent]]="unknown","Unknown",_xlfn.IFS(Table1[[#This Row],[Progress_Percent]]&lt;=10,"Planning",Table1[[#This Row],[Progress_Percent]]&lt;100, "In Progress",Table1[[#This Row],[Progress_Percent]]=100,"Completed"))</f>
        <v>In Progress</v>
      </c>
      <c r="T32" s="2" t="str">
        <f>IF(Table1[[#This Row],[Progress_Percent]]="unknown","Unknown",IF(Table1[[#This Row],[Project_Status]]="On Hold","Review",IF(Table1[[#This Row],[Project_Status]]=Table1[[#This Row],[Project_Expected_Status]],"OK","Mismatch")))</f>
        <v>Mismatch</v>
      </c>
      <c r="U32" s="5">
        <v>45805</v>
      </c>
      <c r="V32">
        <f>Table1[[#This Row],[Actual_Duration_Days]]-Table1[[#This Row],[Planned_Duration_Days]]</f>
        <v>15</v>
      </c>
      <c r="W32" t="str" cm="1">
        <f t="array" ref="W32">_xlfn.IFS(Table1[[#This Row],[Schedule_Variance]]&gt;0,"Behind Schedule",Table1[[#This Row],[Schedule_Variance]]&lt;0,"Ahead of Schedule",Table1[[#This Row],[Schedule_Variance]]=0,"On Schedule")</f>
        <v>Behind Schedule</v>
      </c>
      <c r="X32" s="26" t="str">
        <f>IF(OR(ISBLANK(Table1[[#This Row],[Actual_Cost_ZAR]])),"",Table1[[#This Row],[Actual_Cost_ZAR]]-Table1[[#This Row],[Budget_ZAR]])</f>
        <v/>
      </c>
      <c r="Y32" s="9" t="str">
        <f>IF(OR(Table1[[#This Row],[Cost_Variance]]="",Table1[[#This Row],[Budget_ZAR]]=""),"",Table1[[#This Row],[Cost_Variance]]/Table1[[#This Row],[Budget_ZAR]])</f>
        <v/>
      </c>
      <c r="Z32" t="str">
        <f>IF(OR(Table1[[#This Row],[Budget_ZAR]]="",Table1[[#This Row],[Actual_Cost_ZAR]]=""),"Missing Data",IF(Table1[[#This Row],[Cost_Variance]]&lt;0,"Under Budget",IF(Table1[[#This Row],[Cost_Variance]]=0,"On Budget","Over Budget")))</f>
        <v>Missing Data</v>
      </c>
      <c r="AA32" s="26">
        <f>IF(OR(ISBLANK(Table1[[#This Row],[Actual_Cost_ZAR]]),ISBLANK(Table1[[#This Row],[Budget_ZAR]])),0,Table1[[#This Row],[Actual_Cost_ZAR]]-Table1[[#This Row],[Budget_ZAR]])</f>
        <v>0</v>
      </c>
      <c r="AB32" s="9">
        <f>IF(OR(Table1[[#This Row],[Cost_Variance]]="",Table1[[#This Row],[Budget_ZAR]]=""),0,Table1[[#This Row],[Cost_Variance]]/Table1[[#This Row],[Budget_ZAR]])</f>
        <v>0</v>
      </c>
      <c r="AC32" t="str">
        <f>IF(Table1[[#This Row],[Last_Updated]] = "","Missing Date",IF(Table1[[#This Row],[Last_Updated]]=_xlfn.MAXIFS(Table1[Last_Updated],Table1[Project_ID],Table1[[#This Row],[Project_ID]]),"Latest","Older"))</f>
        <v>Older</v>
      </c>
      <c r="AD32">
        <f>COUNTIFS(Table1[Project_ID],Table1[[#This Row],[Project_ID]],Table1[Last_Updated],"&gt;0")</f>
        <v>6</v>
      </c>
      <c r="AE32">
        <f>COUNTIFS(Table1[Project_ID],Table1[[#This Row],[Project_ID]],Table1[Latest_Record_Flag],"Latest")</f>
        <v>1</v>
      </c>
      <c r="AF32" t="str">
        <f>IF(Table1[[#This Row],[Latest_Count]]&gt;1,"Potential Duplicate -Review","Unique")</f>
        <v>Unique</v>
      </c>
      <c r="AG32" t="str">
        <f>IF(Table1[[#This Row],[Latest_Record_Flag]]&lt;&gt;"Latest","",IF(Table1[[#This Row],[Latest_Count]]&gt;1,"Review - Tied Latest Date", "OK"))</f>
        <v/>
      </c>
    </row>
    <row r="33" spans="1:33" x14ac:dyDescent="0.25">
      <c r="A33" s="2" t="s">
        <v>138</v>
      </c>
      <c r="B33" s="2" t="s">
        <v>26</v>
      </c>
      <c r="C33" s="2" t="s">
        <v>124</v>
      </c>
      <c r="D33" s="2" t="s">
        <v>37</v>
      </c>
      <c r="E33" s="2" t="s">
        <v>29</v>
      </c>
      <c r="F33" s="2" t="s">
        <v>21</v>
      </c>
      <c r="G33" s="2" t="s">
        <v>22</v>
      </c>
      <c r="H33" s="2" t="s">
        <v>38</v>
      </c>
      <c r="I33" s="5">
        <v>45681</v>
      </c>
      <c r="J33" s="2">
        <v>82</v>
      </c>
      <c r="K33" s="2">
        <v>97</v>
      </c>
      <c r="L33" s="14">
        <v>4070462.33</v>
      </c>
      <c r="M33" s="14" t="str">
        <f>IF(Table1[[#This Row],[Budget_ZAR]]="", "Missing", "Present")</f>
        <v>Present</v>
      </c>
      <c r="N33" s="14">
        <v>4739014.07</v>
      </c>
      <c r="O33" s="14" t="str">
        <f>IF(Table1[[#This Row],[Actual_Cost_ZAR]]="","Missing","Present")</f>
        <v>Present</v>
      </c>
      <c r="P33"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33" s="2">
        <v>100</v>
      </c>
      <c r="R33" s="2" t="s">
        <v>33</v>
      </c>
      <c r="S33" s="2" t="str" cm="1">
        <f t="array" ref="S33">IF(Table1[[#This Row],[Progress_Percent]]="unknown","Unknown",_xlfn.IFS(Table1[[#This Row],[Progress_Percent]]&lt;=10,"Planning",Table1[[#This Row],[Progress_Percent]]&lt;100, "In Progress",Table1[[#This Row],[Progress_Percent]]=100,"Completed"))</f>
        <v>Completed</v>
      </c>
      <c r="T33" s="2" t="str">
        <f>IF(Table1[[#This Row],[Progress_Percent]]="unknown","Unknown",IF(Table1[[#This Row],[Project_Status]]="On Hold","Review",IF(Table1[[#This Row],[Project_Status]]=Table1[[#This Row],[Project_Expected_Status]],"OK","Mismatch")))</f>
        <v>Review</v>
      </c>
      <c r="U33" s="5">
        <v>45858</v>
      </c>
      <c r="V33">
        <f>Table1[[#This Row],[Actual_Duration_Days]]-Table1[[#This Row],[Planned_Duration_Days]]</f>
        <v>15</v>
      </c>
      <c r="W33" t="str" cm="1">
        <f t="array" ref="W33">_xlfn.IFS(Table1[[#This Row],[Schedule_Variance]]&gt;0,"Behind Schedule",Table1[[#This Row],[Schedule_Variance]]&lt;0,"Ahead of Schedule",Table1[[#This Row],[Schedule_Variance]]=0,"On Schedule")</f>
        <v>Behind Schedule</v>
      </c>
      <c r="X33" s="26">
        <f>IF(OR(ISBLANK(Table1[[#This Row],[Actual_Cost_ZAR]])),"",Table1[[#This Row],[Actual_Cost_ZAR]]-Table1[[#This Row],[Budget_ZAR]])</f>
        <v>668551.74000000022</v>
      </c>
      <c r="Y33" s="9">
        <f>IF(OR(Table1[[#This Row],[Cost_Variance]]="",Table1[[#This Row],[Budget_ZAR]]=""),"",Table1[[#This Row],[Cost_Variance]]/Table1[[#This Row],[Budget_ZAR]])</f>
        <v>0.16424466947468352</v>
      </c>
      <c r="Z33" t="str">
        <f>IF(OR(Table1[[#This Row],[Budget_ZAR]]="",Table1[[#This Row],[Actual_Cost_ZAR]]=""),"Missing Data",IF(Table1[[#This Row],[Cost_Variance]]&lt;0,"Under Budget",IF(Table1[[#This Row],[Cost_Variance]]=0,"On Budget","Over Budget")))</f>
        <v>Over Budget</v>
      </c>
      <c r="AA33" s="26">
        <f>IF(OR(ISBLANK(Table1[[#This Row],[Actual_Cost_ZAR]]),ISBLANK(Table1[[#This Row],[Budget_ZAR]])),0,Table1[[#This Row],[Actual_Cost_ZAR]]-Table1[[#This Row],[Budget_ZAR]])</f>
        <v>668551.74000000022</v>
      </c>
      <c r="AB33" s="9">
        <f>IF(OR(Table1[[#This Row],[Cost_Variance]]="",Table1[[#This Row],[Budget_ZAR]]=""),0,Table1[[#This Row],[Cost_Variance]]/Table1[[#This Row],[Budget_ZAR]])</f>
        <v>0.16424466947468352</v>
      </c>
      <c r="AC33" t="str">
        <f>IF(Table1[[#This Row],[Last_Updated]] = "","Missing Date",IF(Table1[[#This Row],[Last_Updated]]=_xlfn.MAXIFS(Table1[Last_Updated],Table1[Project_ID],Table1[[#This Row],[Project_ID]]),"Latest","Older"))</f>
        <v>Older</v>
      </c>
      <c r="AD33">
        <f>COUNTIFS(Table1[Project_ID],Table1[[#This Row],[Project_ID]],Table1[Last_Updated],"&gt;0")</f>
        <v>4</v>
      </c>
      <c r="AE33">
        <f>COUNTIFS(Table1[Project_ID],Table1[[#This Row],[Project_ID]],Table1[Latest_Record_Flag],"Latest")</f>
        <v>1</v>
      </c>
      <c r="AF33" t="str">
        <f>IF(Table1[[#This Row],[Latest_Count]]&gt;1,"Potential Duplicate -Review","Unique")</f>
        <v>Unique</v>
      </c>
      <c r="AG33" t="str">
        <f>IF(Table1[[#This Row],[Latest_Record_Flag]]&lt;&gt;"Latest","",IF(Table1[[#This Row],[Latest_Count]]&gt;1,"Review - Tied Latest Date", "OK"))</f>
        <v/>
      </c>
    </row>
    <row r="34" spans="1:33" x14ac:dyDescent="0.25">
      <c r="A34" s="2" t="s">
        <v>139</v>
      </c>
      <c r="B34" s="2" t="s">
        <v>26</v>
      </c>
      <c r="C34" s="2" t="s">
        <v>140</v>
      </c>
      <c r="D34" s="2" t="s">
        <v>19</v>
      </c>
      <c r="E34" s="2" t="s">
        <v>29</v>
      </c>
      <c r="F34" s="2" t="s">
        <v>265</v>
      </c>
      <c r="G34" s="2" t="s">
        <v>76</v>
      </c>
      <c r="H34" s="2" t="s">
        <v>38</v>
      </c>
      <c r="I34" s="5">
        <v>45712</v>
      </c>
      <c r="J34" s="2">
        <v>128</v>
      </c>
      <c r="K34" s="2">
        <v>127</v>
      </c>
      <c r="L34" s="14">
        <v>1349291.76</v>
      </c>
      <c r="M34" s="14" t="str">
        <f>IF(Table1[[#This Row],[Budget_ZAR]]="", "Missing", "Present")</f>
        <v>Present</v>
      </c>
      <c r="N34" s="14">
        <v>1698735.42</v>
      </c>
      <c r="O34" s="14" t="str">
        <f>IF(Table1[[#This Row],[Actual_Cost_ZAR]]="","Missing","Present")</f>
        <v>Present</v>
      </c>
      <c r="P34"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34" s="2"/>
      <c r="R34" s="2" t="s">
        <v>33</v>
      </c>
      <c r="S34" s="2" t="str" cm="1">
        <f t="array" ref="S34">IF(Table1[[#This Row],[Progress_Percent]]="unknown","Unknown",_xlfn.IFS(Table1[[#This Row],[Progress_Percent]]&lt;=10,"Planning",Table1[[#This Row],[Progress_Percent]]&lt;100, "In Progress",Table1[[#This Row],[Progress_Percent]]=100,"Completed"))</f>
        <v>Planning</v>
      </c>
      <c r="T34" s="2" t="str">
        <f>IF(Table1[[#This Row],[Progress_Percent]]="unknown","Unknown",IF(Table1[[#This Row],[Project_Status]]="On Hold","Review",IF(Table1[[#This Row],[Project_Status]]=Table1[[#This Row],[Project_Expected_Status]],"OK","Mismatch")))</f>
        <v>Review</v>
      </c>
      <c r="U34" s="5">
        <v>45848</v>
      </c>
      <c r="V34">
        <f>Table1[[#This Row],[Actual_Duration_Days]]-Table1[[#This Row],[Planned_Duration_Days]]</f>
        <v>-1</v>
      </c>
      <c r="W34" t="str" cm="1">
        <f t="array" ref="W34">_xlfn.IFS(Table1[[#This Row],[Schedule_Variance]]&gt;0,"Behind Schedule",Table1[[#This Row],[Schedule_Variance]]&lt;0,"Ahead of Schedule",Table1[[#This Row],[Schedule_Variance]]=0,"On Schedule")</f>
        <v>Ahead of Schedule</v>
      </c>
      <c r="X34" s="26">
        <f>IF(OR(ISBLANK(Table1[[#This Row],[Actual_Cost_ZAR]])),"",Table1[[#This Row],[Actual_Cost_ZAR]]-Table1[[#This Row],[Budget_ZAR]])</f>
        <v>349443.65999999992</v>
      </c>
      <c r="Y34" s="9">
        <f>IF(OR(Table1[[#This Row],[Cost_Variance]]="",Table1[[#This Row],[Budget_ZAR]]=""),"",Table1[[#This Row],[Cost_Variance]]/Table1[[#This Row],[Budget_ZAR]])</f>
        <v>0.25898302380502192</v>
      </c>
      <c r="Z34" t="str">
        <f>IF(OR(Table1[[#This Row],[Budget_ZAR]]="",Table1[[#This Row],[Actual_Cost_ZAR]]=""),"Missing Data",IF(Table1[[#This Row],[Cost_Variance]]&lt;0,"Under Budget",IF(Table1[[#This Row],[Cost_Variance]]=0,"On Budget","Over Budget")))</f>
        <v>Over Budget</v>
      </c>
      <c r="AA34" s="26">
        <f>IF(OR(ISBLANK(Table1[[#This Row],[Actual_Cost_ZAR]]),ISBLANK(Table1[[#This Row],[Budget_ZAR]])),0,Table1[[#This Row],[Actual_Cost_ZAR]]-Table1[[#This Row],[Budget_ZAR]])</f>
        <v>349443.65999999992</v>
      </c>
      <c r="AB34" s="9">
        <f>IF(OR(Table1[[#This Row],[Cost_Variance]]="",Table1[[#This Row],[Budget_ZAR]]=""),0,Table1[[#This Row],[Cost_Variance]]/Table1[[#This Row],[Budget_ZAR]])</f>
        <v>0.25898302380502192</v>
      </c>
      <c r="AC34" t="str">
        <f>IF(Table1[[#This Row],[Last_Updated]] = "","Missing Date",IF(Table1[[#This Row],[Last_Updated]]=_xlfn.MAXIFS(Table1[Last_Updated],Table1[Project_ID],Table1[[#This Row],[Project_ID]]),"Latest","Older"))</f>
        <v>Older</v>
      </c>
      <c r="AD34">
        <f>COUNTIFS(Table1[Project_ID],Table1[[#This Row],[Project_ID]],Table1[Last_Updated],"&gt;0")</f>
        <v>4</v>
      </c>
      <c r="AE34">
        <f>COUNTIFS(Table1[Project_ID],Table1[[#This Row],[Project_ID]],Table1[Latest_Record_Flag],"Latest")</f>
        <v>1</v>
      </c>
      <c r="AF34" t="str">
        <f>IF(Table1[[#This Row],[Latest_Count]]&gt;1,"Potential Duplicate -Review","Unique")</f>
        <v>Unique</v>
      </c>
      <c r="AG34" t="str">
        <f>IF(Table1[[#This Row],[Latest_Record_Flag]]&lt;&gt;"Latest","",IF(Table1[[#This Row],[Latest_Count]]&gt;1,"Review - Tied Latest Date", "OK"))</f>
        <v/>
      </c>
    </row>
    <row r="35" spans="1:33" x14ac:dyDescent="0.25">
      <c r="A35" s="2" t="s">
        <v>142</v>
      </c>
      <c r="B35" s="2" t="s">
        <v>56</v>
      </c>
      <c r="C35" s="2" t="s">
        <v>143</v>
      </c>
      <c r="D35" s="2" t="s">
        <v>37</v>
      </c>
      <c r="E35" s="2" t="s">
        <v>29</v>
      </c>
      <c r="F35" s="2" t="s">
        <v>30</v>
      </c>
      <c r="G35" s="2" t="s">
        <v>22</v>
      </c>
      <c r="H35" s="2" t="s">
        <v>38</v>
      </c>
      <c r="I35" s="5">
        <v>45962</v>
      </c>
      <c r="J35" s="2">
        <v>101</v>
      </c>
      <c r="K35" s="2">
        <v>146</v>
      </c>
      <c r="L35" s="14">
        <v>4970312.58</v>
      </c>
      <c r="M35" s="14" t="str">
        <f>IF(Table1[[#This Row],[Budget_ZAR]]="", "Missing", "Present")</f>
        <v>Present</v>
      </c>
      <c r="N35" s="14">
        <v>4976707.9400000004</v>
      </c>
      <c r="O35" s="14" t="str">
        <f>IF(Table1[[#This Row],[Actual_Cost_ZAR]]="","Missing","Present")</f>
        <v>Present</v>
      </c>
      <c r="P35"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35" s="2"/>
      <c r="R35" s="2" t="s">
        <v>33</v>
      </c>
      <c r="S35" s="2" t="str" cm="1">
        <f t="array" ref="S35">IF(Table1[[#This Row],[Progress_Percent]]="unknown","Unknown",_xlfn.IFS(Table1[[#This Row],[Progress_Percent]]&lt;=10,"Planning",Table1[[#This Row],[Progress_Percent]]&lt;100, "In Progress",Table1[[#This Row],[Progress_Percent]]=100,"Completed"))</f>
        <v>Planning</v>
      </c>
      <c r="T35" s="2" t="str">
        <f>IF(Table1[[#This Row],[Progress_Percent]]="unknown","Unknown",IF(Table1[[#This Row],[Project_Status]]="On Hold","Review",IF(Table1[[#This Row],[Project_Status]]=Table1[[#This Row],[Project_Expected_Status]],"OK","Mismatch")))</f>
        <v>Review</v>
      </c>
      <c r="U35" s="5">
        <v>46033</v>
      </c>
      <c r="V35">
        <f>Table1[[#This Row],[Actual_Duration_Days]]-Table1[[#This Row],[Planned_Duration_Days]]</f>
        <v>45</v>
      </c>
      <c r="W35" t="str" cm="1">
        <f t="array" ref="W35">_xlfn.IFS(Table1[[#This Row],[Schedule_Variance]]&gt;0,"Behind Schedule",Table1[[#This Row],[Schedule_Variance]]&lt;0,"Ahead of Schedule",Table1[[#This Row],[Schedule_Variance]]=0,"On Schedule")</f>
        <v>Behind Schedule</v>
      </c>
      <c r="X35" s="26">
        <f>IF(OR(ISBLANK(Table1[[#This Row],[Actual_Cost_ZAR]])),"",Table1[[#This Row],[Actual_Cost_ZAR]]-Table1[[#This Row],[Budget_ZAR]])</f>
        <v>6395.3600000003353</v>
      </c>
      <c r="Y35" s="9">
        <f>IF(OR(Table1[[#This Row],[Cost_Variance]]="",Table1[[#This Row],[Budget_ZAR]]=""),"",Table1[[#This Row],[Cost_Variance]]/Table1[[#This Row],[Budget_ZAR]])</f>
        <v>1.2867118309086982E-3</v>
      </c>
      <c r="Z35" t="str">
        <f>IF(OR(Table1[[#This Row],[Budget_ZAR]]="",Table1[[#This Row],[Actual_Cost_ZAR]]=""),"Missing Data",IF(Table1[[#This Row],[Cost_Variance]]&lt;0,"Under Budget",IF(Table1[[#This Row],[Cost_Variance]]=0,"On Budget","Over Budget")))</f>
        <v>Over Budget</v>
      </c>
      <c r="AA35" s="26">
        <f>IF(OR(ISBLANK(Table1[[#This Row],[Actual_Cost_ZAR]]),ISBLANK(Table1[[#This Row],[Budget_ZAR]])),0,Table1[[#This Row],[Actual_Cost_ZAR]]-Table1[[#This Row],[Budget_ZAR]])</f>
        <v>6395.3600000003353</v>
      </c>
      <c r="AB35" s="9">
        <f>IF(OR(Table1[[#This Row],[Cost_Variance]]="",Table1[[#This Row],[Budget_ZAR]]=""),0,Table1[[#This Row],[Cost_Variance]]/Table1[[#This Row],[Budget_ZAR]])</f>
        <v>1.2867118309086982E-3</v>
      </c>
      <c r="AC35" t="str">
        <f>IF(Table1[[#This Row],[Last_Updated]] = "","Missing Date",IF(Table1[[#This Row],[Last_Updated]]=_xlfn.MAXIFS(Table1[Last_Updated],Table1[Project_ID],Table1[[#This Row],[Project_ID]]),"Latest","Older"))</f>
        <v>Older</v>
      </c>
      <c r="AD35">
        <f>COUNTIFS(Table1[Project_ID],Table1[[#This Row],[Project_ID]],Table1[Last_Updated],"&gt;0")</f>
        <v>7</v>
      </c>
      <c r="AE35">
        <f>COUNTIFS(Table1[Project_ID],Table1[[#This Row],[Project_ID]],Table1[Latest_Record_Flag],"Latest")</f>
        <v>1</v>
      </c>
      <c r="AF35" t="str">
        <f>IF(Table1[[#This Row],[Latest_Count]]&gt;1,"Potential Duplicate -Review","Unique")</f>
        <v>Unique</v>
      </c>
      <c r="AG35" t="str">
        <f>IF(Table1[[#This Row],[Latest_Record_Flag]]&lt;&gt;"Latest","",IF(Table1[[#This Row],[Latest_Count]]&gt;1,"Review - Tied Latest Date", "OK"))</f>
        <v/>
      </c>
    </row>
    <row r="36" spans="1:33" x14ac:dyDescent="0.25">
      <c r="A36" s="2" t="s">
        <v>144</v>
      </c>
      <c r="B36" s="2" t="s">
        <v>126</v>
      </c>
      <c r="C36" s="2" t="s">
        <v>135</v>
      </c>
      <c r="D36" s="2" t="s">
        <v>117</v>
      </c>
      <c r="E36" s="2" t="s">
        <v>94</v>
      </c>
      <c r="F36" s="2" t="s">
        <v>59</v>
      </c>
      <c r="G36" s="2" t="s">
        <v>22</v>
      </c>
      <c r="H36" s="2" t="s">
        <v>32</v>
      </c>
      <c r="I36" s="5">
        <v>45906</v>
      </c>
      <c r="J36" s="2">
        <v>180</v>
      </c>
      <c r="K36" s="2">
        <v>180</v>
      </c>
      <c r="L36" s="14">
        <v>1966234.04</v>
      </c>
      <c r="M36" s="14" t="str">
        <f>IF(Table1[[#This Row],[Budget_ZAR]]="", "Missing", "Present")</f>
        <v>Present</v>
      </c>
      <c r="N36" s="14">
        <v>1609837.76</v>
      </c>
      <c r="O36" s="14" t="str">
        <f>IF(Table1[[#This Row],[Actual_Cost_ZAR]]="","Missing","Present")</f>
        <v>Present</v>
      </c>
      <c r="P36"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36" s="2">
        <v>55</v>
      </c>
      <c r="R36" s="2" t="s">
        <v>49</v>
      </c>
      <c r="S36" s="2" t="str" cm="1">
        <f t="array" ref="S36">IF(Table1[[#This Row],[Progress_Percent]]="unknown","Unknown",_xlfn.IFS(Table1[[#This Row],[Progress_Percent]]&lt;=10,"Planning",Table1[[#This Row],[Progress_Percent]]&lt;100, "In Progress",Table1[[#This Row],[Progress_Percent]]=100,"Completed"))</f>
        <v>In Progress</v>
      </c>
      <c r="T36" s="2" t="str">
        <f>IF(Table1[[#This Row],[Progress_Percent]]="unknown","Unknown",IF(Table1[[#This Row],[Project_Status]]="On Hold","Review",IF(Table1[[#This Row],[Project_Status]]=Table1[[#This Row],[Project_Expected_Status]],"OK","Mismatch")))</f>
        <v>OK</v>
      </c>
      <c r="U36" s="5">
        <v>45966</v>
      </c>
      <c r="V36">
        <f>Table1[[#This Row],[Actual_Duration_Days]]-Table1[[#This Row],[Planned_Duration_Days]]</f>
        <v>0</v>
      </c>
      <c r="W36" t="str" cm="1">
        <f t="array" ref="W36">_xlfn.IFS(Table1[[#This Row],[Schedule_Variance]]&gt;0,"Behind Schedule",Table1[[#This Row],[Schedule_Variance]]&lt;0,"Ahead of Schedule",Table1[[#This Row],[Schedule_Variance]]=0,"On Schedule")</f>
        <v>On Schedule</v>
      </c>
      <c r="X36" s="26">
        <f>IF(OR(ISBLANK(Table1[[#This Row],[Actual_Cost_ZAR]])),"",Table1[[#This Row],[Actual_Cost_ZAR]]-Table1[[#This Row],[Budget_ZAR]])</f>
        <v>-356396.28</v>
      </c>
      <c r="Y36" s="9">
        <f>IF(OR(Table1[[#This Row],[Cost_Variance]]="",Table1[[#This Row],[Budget_ZAR]]=""),"",Table1[[#This Row],[Cost_Variance]]/Table1[[#This Row],[Budget_ZAR]])</f>
        <v>-0.18125832060154956</v>
      </c>
      <c r="Z36" t="str">
        <f>IF(OR(Table1[[#This Row],[Budget_ZAR]]="",Table1[[#This Row],[Actual_Cost_ZAR]]=""),"Missing Data",IF(Table1[[#This Row],[Cost_Variance]]&lt;0,"Under Budget",IF(Table1[[#This Row],[Cost_Variance]]=0,"On Budget","Over Budget")))</f>
        <v>Under Budget</v>
      </c>
      <c r="AA36" s="26">
        <f>IF(OR(ISBLANK(Table1[[#This Row],[Actual_Cost_ZAR]]),ISBLANK(Table1[[#This Row],[Budget_ZAR]])),0,Table1[[#This Row],[Actual_Cost_ZAR]]-Table1[[#This Row],[Budget_ZAR]])</f>
        <v>-356396.28</v>
      </c>
      <c r="AB36" s="9">
        <f>IF(OR(Table1[[#This Row],[Cost_Variance]]="",Table1[[#This Row],[Budget_ZAR]]=""),0,Table1[[#This Row],[Cost_Variance]]/Table1[[#This Row],[Budget_ZAR]])</f>
        <v>-0.18125832060154956</v>
      </c>
      <c r="AC36" t="str">
        <f>IF(Table1[[#This Row],[Last_Updated]] = "","Missing Date",IF(Table1[[#This Row],[Last_Updated]]=_xlfn.MAXIFS(Table1[Last_Updated],Table1[Project_ID],Table1[[#This Row],[Project_ID]]),"Latest","Older"))</f>
        <v>Older</v>
      </c>
      <c r="AD36">
        <f>COUNTIFS(Table1[Project_ID],Table1[[#This Row],[Project_ID]],Table1[Last_Updated],"&gt;0")</f>
        <v>5</v>
      </c>
      <c r="AE36">
        <f>COUNTIFS(Table1[Project_ID],Table1[[#This Row],[Project_ID]],Table1[Latest_Record_Flag],"Latest")</f>
        <v>1</v>
      </c>
      <c r="AF36" t="str">
        <f>IF(Table1[[#This Row],[Latest_Count]]&gt;1,"Potential Duplicate -Review","Unique")</f>
        <v>Unique</v>
      </c>
      <c r="AG36" t="str">
        <f>IF(Table1[[#This Row],[Latest_Record_Flag]]&lt;&gt;"Latest","",IF(Table1[[#This Row],[Latest_Count]]&gt;1,"Review - Tied Latest Date", "OK"))</f>
        <v/>
      </c>
    </row>
    <row r="37" spans="1:33" x14ac:dyDescent="0.25">
      <c r="A37" s="2" t="s">
        <v>145</v>
      </c>
      <c r="B37" s="2" t="s">
        <v>131</v>
      </c>
      <c r="C37" s="2" t="s">
        <v>140</v>
      </c>
      <c r="D37" s="2" t="s">
        <v>37</v>
      </c>
      <c r="E37" s="2" t="s">
        <v>29</v>
      </c>
      <c r="F37" s="2" t="s">
        <v>48</v>
      </c>
      <c r="G37" s="2" t="s">
        <v>60</v>
      </c>
      <c r="H37" s="2" t="s">
        <v>23</v>
      </c>
      <c r="I37" s="5">
        <v>45736</v>
      </c>
      <c r="J37" s="2">
        <v>74</v>
      </c>
      <c r="K37" s="2">
        <v>63</v>
      </c>
      <c r="L37" s="14">
        <v>2842924.35</v>
      </c>
      <c r="M37" s="14" t="str">
        <f>IF(Table1[[#This Row],[Budget_ZAR]]="", "Missing", "Present")</f>
        <v>Present</v>
      </c>
      <c r="N37" s="14">
        <v>2687816.37</v>
      </c>
      <c r="O37" s="14" t="str">
        <f>IF(Table1[[#This Row],[Actual_Cost_ZAR]]="","Missing","Present")</f>
        <v>Present</v>
      </c>
      <c r="P37"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37" s="2">
        <v>100</v>
      </c>
      <c r="R37" s="2" t="s">
        <v>33</v>
      </c>
      <c r="S37" s="2" t="str" cm="1">
        <f t="array" ref="S37">IF(Table1[[#This Row],[Progress_Percent]]="unknown","Unknown",_xlfn.IFS(Table1[[#This Row],[Progress_Percent]]&lt;=10,"Planning",Table1[[#This Row],[Progress_Percent]]&lt;100, "In Progress",Table1[[#This Row],[Progress_Percent]]=100,"Completed"))</f>
        <v>Completed</v>
      </c>
      <c r="T37" s="2" t="str">
        <f>IF(Table1[[#This Row],[Progress_Percent]]="unknown","Unknown",IF(Table1[[#This Row],[Project_Status]]="On Hold","Review",IF(Table1[[#This Row],[Project_Status]]=Table1[[#This Row],[Project_Expected_Status]],"OK","Mismatch")))</f>
        <v>Review</v>
      </c>
      <c r="U37" s="5">
        <v>45834</v>
      </c>
      <c r="V37">
        <f>Table1[[#This Row],[Actual_Duration_Days]]-Table1[[#This Row],[Planned_Duration_Days]]</f>
        <v>-11</v>
      </c>
      <c r="W37" t="str" cm="1">
        <f t="array" ref="W37">_xlfn.IFS(Table1[[#This Row],[Schedule_Variance]]&gt;0,"Behind Schedule",Table1[[#This Row],[Schedule_Variance]]&lt;0,"Ahead of Schedule",Table1[[#This Row],[Schedule_Variance]]=0,"On Schedule")</f>
        <v>Ahead of Schedule</v>
      </c>
      <c r="X37" s="26">
        <f>IF(OR(ISBLANK(Table1[[#This Row],[Actual_Cost_ZAR]])),"",Table1[[#This Row],[Actual_Cost_ZAR]]-Table1[[#This Row],[Budget_ZAR]])</f>
        <v>-155107.97999999998</v>
      </c>
      <c r="Y37" s="9">
        <f>IF(OR(Table1[[#This Row],[Cost_Variance]]="",Table1[[#This Row],[Budget_ZAR]]=""),"",Table1[[#This Row],[Cost_Variance]]/Table1[[#This Row],[Budget_ZAR]])</f>
        <v>-5.4559306159518449E-2</v>
      </c>
      <c r="Z37" t="str">
        <f>IF(OR(Table1[[#This Row],[Budget_ZAR]]="",Table1[[#This Row],[Actual_Cost_ZAR]]=""),"Missing Data",IF(Table1[[#This Row],[Cost_Variance]]&lt;0,"Under Budget",IF(Table1[[#This Row],[Cost_Variance]]=0,"On Budget","Over Budget")))</f>
        <v>Under Budget</v>
      </c>
      <c r="AA37" s="26">
        <f>IF(OR(ISBLANK(Table1[[#This Row],[Actual_Cost_ZAR]]),ISBLANK(Table1[[#This Row],[Budget_ZAR]])),0,Table1[[#This Row],[Actual_Cost_ZAR]]-Table1[[#This Row],[Budget_ZAR]])</f>
        <v>-155107.97999999998</v>
      </c>
      <c r="AB37" s="9">
        <f>IF(OR(Table1[[#This Row],[Cost_Variance]]="",Table1[[#This Row],[Budget_ZAR]]=""),0,Table1[[#This Row],[Cost_Variance]]/Table1[[#This Row],[Budget_ZAR]])</f>
        <v>-5.4559306159518449E-2</v>
      </c>
      <c r="AC37" t="str">
        <f>IF(Table1[[#This Row],[Last_Updated]] = "","Missing Date",IF(Table1[[#This Row],[Last_Updated]]=_xlfn.MAXIFS(Table1[Last_Updated],Table1[Project_ID],Table1[[#This Row],[Project_ID]]),"Latest","Older"))</f>
        <v>Older</v>
      </c>
      <c r="AD37">
        <f>COUNTIFS(Table1[Project_ID],Table1[[#This Row],[Project_ID]],Table1[Last_Updated],"&gt;0")</f>
        <v>7</v>
      </c>
      <c r="AE37">
        <f>COUNTIFS(Table1[Project_ID],Table1[[#This Row],[Project_ID]],Table1[Latest_Record_Flag],"Latest")</f>
        <v>1</v>
      </c>
      <c r="AF37" t="str">
        <f>IF(Table1[[#This Row],[Latest_Count]]&gt;1,"Potential Duplicate -Review","Unique")</f>
        <v>Unique</v>
      </c>
      <c r="AG37" t="str">
        <f>IF(Table1[[#This Row],[Latest_Record_Flag]]&lt;&gt;"Latest","",IF(Table1[[#This Row],[Latest_Count]]&gt;1,"Review - Tied Latest Date", "OK"))</f>
        <v/>
      </c>
    </row>
    <row r="38" spans="1:33" x14ac:dyDescent="0.25">
      <c r="A38" s="2" t="s">
        <v>146</v>
      </c>
      <c r="B38" s="2" t="s">
        <v>92</v>
      </c>
      <c r="C38" s="2" t="s">
        <v>81</v>
      </c>
      <c r="D38" s="2" t="s">
        <v>328</v>
      </c>
      <c r="E38" s="2" t="s">
        <v>43</v>
      </c>
      <c r="F38" s="2" t="s">
        <v>44</v>
      </c>
      <c r="G38" s="2" t="s">
        <v>280</v>
      </c>
      <c r="H38" s="2" t="s">
        <v>108</v>
      </c>
      <c r="I38" s="5">
        <v>45661</v>
      </c>
      <c r="J38" s="2">
        <v>110</v>
      </c>
      <c r="K38" s="2">
        <v>114</v>
      </c>
      <c r="L38" s="14">
        <v>4959219.53</v>
      </c>
      <c r="M38" s="14" t="str">
        <f>IF(Table1[[#This Row],[Budget_ZAR]]="", "Missing", "Present")</f>
        <v>Present</v>
      </c>
      <c r="N38" s="14">
        <v>5984409.1100000003</v>
      </c>
      <c r="O38" s="14" t="str">
        <f>IF(Table1[[#This Row],[Actual_Cost_ZAR]]="","Missing","Present")</f>
        <v>Present</v>
      </c>
      <c r="P38"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38" s="2">
        <v>85</v>
      </c>
      <c r="R38" s="2" t="s">
        <v>49</v>
      </c>
      <c r="S38" s="2" t="str" cm="1">
        <f t="array" ref="S38">IF(Table1[[#This Row],[Progress_Percent]]="unknown","Unknown",_xlfn.IFS(Table1[[#This Row],[Progress_Percent]]&lt;=10,"Planning",Table1[[#This Row],[Progress_Percent]]&lt;100, "In Progress",Table1[[#This Row],[Progress_Percent]]=100,"Completed"))</f>
        <v>In Progress</v>
      </c>
      <c r="T38" s="2" t="str">
        <f>IF(Table1[[#This Row],[Progress_Percent]]="unknown","Unknown",IF(Table1[[#This Row],[Project_Status]]="On Hold","Review",IF(Table1[[#This Row],[Project_Status]]=Table1[[#This Row],[Project_Expected_Status]],"OK","Mismatch")))</f>
        <v>OK</v>
      </c>
      <c r="U38" s="5">
        <v>45748</v>
      </c>
      <c r="V38">
        <f>Table1[[#This Row],[Actual_Duration_Days]]-Table1[[#This Row],[Planned_Duration_Days]]</f>
        <v>4</v>
      </c>
      <c r="W38" t="str" cm="1">
        <f t="array" ref="W38">_xlfn.IFS(Table1[[#This Row],[Schedule_Variance]]&gt;0,"Behind Schedule",Table1[[#This Row],[Schedule_Variance]]&lt;0,"Ahead of Schedule",Table1[[#This Row],[Schedule_Variance]]=0,"On Schedule")</f>
        <v>Behind Schedule</v>
      </c>
      <c r="X38" s="26">
        <f>IF(OR(ISBLANK(Table1[[#This Row],[Actual_Cost_ZAR]])),"",Table1[[#This Row],[Actual_Cost_ZAR]]-Table1[[#This Row],[Budget_ZAR]])</f>
        <v>1025189.5800000001</v>
      </c>
      <c r="Y38" s="9">
        <f>IF(OR(Table1[[#This Row],[Cost_Variance]]="",Table1[[#This Row],[Budget_ZAR]]=""),"",Table1[[#This Row],[Cost_Variance]]/Table1[[#This Row],[Budget_ZAR]])</f>
        <v>0.20672397618179247</v>
      </c>
      <c r="Z38" t="str">
        <f>IF(OR(Table1[[#This Row],[Budget_ZAR]]="",Table1[[#This Row],[Actual_Cost_ZAR]]=""),"Missing Data",IF(Table1[[#This Row],[Cost_Variance]]&lt;0,"Under Budget",IF(Table1[[#This Row],[Cost_Variance]]=0,"On Budget","Over Budget")))</f>
        <v>Over Budget</v>
      </c>
      <c r="AA38" s="26">
        <f>IF(OR(ISBLANK(Table1[[#This Row],[Actual_Cost_ZAR]]),ISBLANK(Table1[[#This Row],[Budget_ZAR]])),0,Table1[[#This Row],[Actual_Cost_ZAR]]-Table1[[#This Row],[Budget_ZAR]])</f>
        <v>1025189.5800000001</v>
      </c>
      <c r="AB38" s="9">
        <f>IF(OR(Table1[[#This Row],[Cost_Variance]]="",Table1[[#This Row],[Budget_ZAR]]=""),0,Table1[[#This Row],[Cost_Variance]]/Table1[[#This Row],[Budget_ZAR]])</f>
        <v>0.20672397618179247</v>
      </c>
      <c r="AC38" t="str">
        <f>IF(Table1[[#This Row],[Last_Updated]] = "","Missing Date",IF(Table1[[#This Row],[Last_Updated]]=_xlfn.MAXIFS(Table1[Last_Updated],Table1[Project_ID],Table1[[#This Row],[Project_ID]]),"Latest","Older"))</f>
        <v>Older</v>
      </c>
      <c r="AD38">
        <f>COUNTIFS(Table1[Project_ID],Table1[[#This Row],[Project_ID]],Table1[Last_Updated],"&gt;0")</f>
        <v>8</v>
      </c>
      <c r="AE38">
        <f>COUNTIFS(Table1[Project_ID],Table1[[#This Row],[Project_ID]],Table1[Latest_Record_Flag],"Latest")</f>
        <v>1</v>
      </c>
      <c r="AF38" t="str">
        <f>IF(Table1[[#This Row],[Latest_Count]]&gt;1,"Potential Duplicate -Review","Unique")</f>
        <v>Unique</v>
      </c>
      <c r="AG38" t="str">
        <f>IF(Table1[[#This Row],[Latest_Record_Flag]]&lt;&gt;"Latest","",IF(Table1[[#This Row],[Latest_Count]]&gt;1,"Review - Tied Latest Date", "OK"))</f>
        <v/>
      </c>
    </row>
    <row r="39" spans="1:33" x14ac:dyDescent="0.25">
      <c r="A39" s="2" t="s">
        <v>148</v>
      </c>
      <c r="B39" s="2" t="s">
        <v>131</v>
      </c>
      <c r="C39" s="2" t="s">
        <v>64</v>
      </c>
      <c r="D39" s="2" t="s">
        <v>37</v>
      </c>
      <c r="E39" s="2" t="s">
        <v>85</v>
      </c>
      <c r="F39" s="2" t="s">
        <v>44</v>
      </c>
      <c r="G39" s="2" t="s">
        <v>22</v>
      </c>
      <c r="H39" s="2" t="s">
        <v>61</v>
      </c>
      <c r="I39" s="5">
        <v>45742</v>
      </c>
      <c r="J39" s="2">
        <v>139</v>
      </c>
      <c r="K39" s="2">
        <v>182</v>
      </c>
      <c r="L39" s="14">
        <v>1047673.73</v>
      </c>
      <c r="M39" s="14" t="str">
        <f>IF(Table1[[#This Row],[Budget_ZAR]]="", "Missing", "Present")</f>
        <v>Present</v>
      </c>
      <c r="N39" s="14"/>
      <c r="O39" s="14" t="str">
        <f>IF(Table1[[#This Row],[Actual_Cost_ZAR]]="","Missing","Present")</f>
        <v>Missing</v>
      </c>
      <c r="P39"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Actual Cost Missing</v>
      </c>
      <c r="Q39" s="2">
        <v>0</v>
      </c>
      <c r="R39" s="2" t="s">
        <v>33</v>
      </c>
      <c r="S39" s="2" t="str" cm="1">
        <f t="array" ref="S39">IF(Table1[[#This Row],[Progress_Percent]]="unknown","Unknown",_xlfn.IFS(Table1[[#This Row],[Progress_Percent]]&lt;=10,"Planning",Table1[[#This Row],[Progress_Percent]]&lt;100, "In Progress",Table1[[#This Row],[Progress_Percent]]=100,"Completed"))</f>
        <v>Planning</v>
      </c>
      <c r="T39" s="2" t="str">
        <f>IF(Table1[[#This Row],[Progress_Percent]]="unknown","Unknown",IF(Table1[[#This Row],[Project_Status]]="On Hold","Review",IF(Table1[[#This Row],[Project_Status]]=Table1[[#This Row],[Project_Expected_Status]],"OK","Mismatch")))</f>
        <v>Review</v>
      </c>
      <c r="U39" s="5"/>
      <c r="V39">
        <f>Table1[[#This Row],[Actual_Duration_Days]]-Table1[[#This Row],[Planned_Duration_Days]]</f>
        <v>43</v>
      </c>
      <c r="W39" t="str" cm="1">
        <f t="array" ref="W39">_xlfn.IFS(Table1[[#This Row],[Schedule_Variance]]&gt;0,"Behind Schedule",Table1[[#This Row],[Schedule_Variance]]&lt;0,"Ahead of Schedule",Table1[[#This Row],[Schedule_Variance]]=0,"On Schedule")</f>
        <v>Behind Schedule</v>
      </c>
      <c r="X39" s="26" t="str">
        <f>IF(OR(ISBLANK(Table1[[#This Row],[Actual_Cost_ZAR]])),"",Table1[[#This Row],[Actual_Cost_ZAR]]-Table1[[#This Row],[Budget_ZAR]])</f>
        <v/>
      </c>
      <c r="Y39" s="9" t="str">
        <f>IF(OR(Table1[[#This Row],[Cost_Variance]]="",Table1[[#This Row],[Budget_ZAR]]=""),"",Table1[[#This Row],[Cost_Variance]]/Table1[[#This Row],[Budget_ZAR]])</f>
        <v/>
      </c>
      <c r="Z39" t="str">
        <f>IF(OR(Table1[[#This Row],[Budget_ZAR]]="",Table1[[#This Row],[Actual_Cost_ZAR]]=""),"Missing Data",IF(Table1[[#This Row],[Cost_Variance]]&lt;0,"Under Budget",IF(Table1[[#This Row],[Cost_Variance]]=0,"On Budget","Over Budget")))</f>
        <v>Missing Data</v>
      </c>
      <c r="AA39" s="26">
        <f>IF(OR(ISBLANK(Table1[[#This Row],[Actual_Cost_ZAR]]),ISBLANK(Table1[[#This Row],[Budget_ZAR]])),0,Table1[[#This Row],[Actual_Cost_ZAR]]-Table1[[#This Row],[Budget_ZAR]])</f>
        <v>0</v>
      </c>
      <c r="AB39" s="9">
        <f>IF(OR(Table1[[#This Row],[Cost_Variance]]="",Table1[[#This Row],[Budget_ZAR]]=""),0,Table1[[#This Row],[Cost_Variance]]/Table1[[#This Row],[Budget_ZAR]])</f>
        <v>0</v>
      </c>
      <c r="AC39" t="str">
        <f>IF(Table1[[#This Row],[Last_Updated]] = "","Missing Date",IF(Table1[[#This Row],[Last_Updated]]=_xlfn.MAXIFS(Table1[Last_Updated],Table1[Project_ID],Table1[[#This Row],[Project_ID]]),"Latest","Older"))</f>
        <v>Missing Date</v>
      </c>
      <c r="AD39">
        <f>COUNTIFS(Table1[Project_ID],Table1[[#This Row],[Project_ID]],Table1[Last_Updated],"&gt;0")</f>
        <v>7</v>
      </c>
      <c r="AE39">
        <f>COUNTIFS(Table1[Project_ID],Table1[[#This Row],[Project_ID]],Table1[Latest_Record_Flag],"Latest")</f>
        <v>1</v>
      </c>
      <c r="AF39" t="str">
        <f>IF(Table1[[#This Row],[Latest_Count]]&gt;1,"Potential Duplicate -Review","Unique")</f>
        <v>Unique</v>
      </c>
      <c r="AG39" t="str">
        <f>IF(Table1[[#This Row],[Latest_Record_Flag]]&lt;&gt;"Latest","",IF(Table1[[#This Row],[Latest_Count]]&gt;1,"Review - Tied Latest Date", "OK"))</f>
        <v/>
      </c>
    </row>
    <row r="40" spans="1:33" x14ac:dyDescent="0.25">
      <c r="A40" s="2" t="s">
        <v>149</v>
      </c>
      <c r="B40" s="2" t="s">
        <v>131</v>
      </c>
      <c r="C40" s="2" t="s">
        <v>93</v>
      </c>
      <c r="D40" s="2" t="s">
        <v>19</v>
      </c>
      <c r="E40" s="2" t="s">
        <v>29</v>
      </c>
      <c r="F40" s="2" t="s">
        <v>59</v>
      </c>
      <c r="G40" s="2" t="s">
        <v>60</v>
      </c>
      <c r="H40" s="2" t="s">
        <v>61</v>
      </c>
      <c r="I40" s="5">
        <v>45825</v>
      </c>
      <c r="J40" s="2">
        <v>74</v>
      </c>
      <c r="K40" s="2">
        <v>88</v>
      </c>
      <c r="L40" s="14">
        <v>2292786.2799999998</v>
      </c>
      <c r="M40" s="14" t="str">
        <f>IF(Table1[[#This Row],[Budget_ZAR]]="", "Missing", "Present")</f>
        <v>Present</v>
      </c>
      <c r="N40" s="14">
        <v>2661041.81</v>
      </c>
      <c r="O40" s="14" t="str">
        <f>IF(Table1[[#This Row],[Actual_Cost_ZAR]]="","Missing","Present")</f>
        <v>Present</v>
      </c>
      <c r="P40"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40" s="2">
        <v>85</v>
      </c>
      <c r="R40" s="2" t="s">
        <v>54</v>
      </c>
      <c r="S40" s="2" t="str" cm="1">
        <f t="array" ref="S40">IF(Table1[[#This Row],[Progress_Percent]]="unknown","Unknown",_xlfn.IFS(Table1[[#This Row],[Progress_Percent]]&lt;=10,"Planning",Table1[[#This Row],[Progress_Percent]]&lt;100, "In Progress",Table1[[#This Row],[Progress_Percent]]=100,"Completed"))</f>
        <v>In Progress</v>
      </c>
      <c r="T40" s="2" t="str">
        <f>IF(Table1[[#This Row],[Progress_Percent]]="unknown","Unknown",IF(Table1[[#This Row],[Project_Status]]="On Hold","Review",IF(Table1[[#This Row],[Project_Status]]=Table1[[#This Row],[Project_Expected_Status]],"OK","Mismatch")))</f>
        <v>Mismatch</v>
      </c>
      <c r="U40" s="5">
        <v>45915</v>
      </c>
      <c r="V40">
        <f>Table1[[#This Row],[Actual_Duration_Days]]-Table1[[#This Row],[Planned_Duration_Days]]</f>
        <v>14</v>
      </c>
      <c r="W40" t="str" cm="1">
        <f t="array" ref="W40">_xlfn.IFS(Table1[[#This Row],[Schedule_Variance]]&gt;0,"Behind Schedule",Table1[[#This Row],[Schedule_Variance]]&lt;0,"Ahead of Schedule",Table1[[#This Row],[Schedule_Variance]]=0,"On Schedule")</f>
        <v>Behind Schedule</v>
      </c>
      <c r="X40" s="26">
        <f>IF(OR(ISBLANK(Table1[[#This Row],[Actual_Cost_ZAR]])),"",Table1[[#This Row],[Actual_Cost_ZAR]]-Table1[[#This Row],[Budget_ZAR]])</f>
        <v>368255.53000000026</v>
      </c>
      <c r="Y40" s="9">
        <f>IF(OR(Table1[[#This Row],[Cost_Variance]]="",Table1[[#This Row],[Budget_ZAR]]=""),"",Table1[[#This Row],[Cost_Variance]]/Table1[[#This Row],[Budget_ZAR]])</f>
        <v>0.16061485242314005</v>
      </c>
      <c r="Z40" t="str">
        <f>IF(OR(Table1[[#This Row],[Budget_ZAR]]="",Table1[[#This Row],[Actual_Cost_ZAR]]=""),"Missing Data",IF(Table1[[#This Row],[Cost_Variance]]&lt;0,"Under Budget",IF(Table1[[#This Row],[Cost_Variance]]=0,"On Budget","Over Budget")))</f>
        <v>Over Budget</v>
      </c>
      <c r="AA40" s="26">
        <f>IF(OR(ISBLANK(Table1[[#This Row],[Actual_Cost_ZAR]]),ISBLANK(Table1[[#This Row],[Budget_ZAR]])),0,Table1[[#This Row],[Actual_Cost_ZAR]]-Table1[[#This Row],[Budget_ZAR]])</f>
        <v>368255.53000000026</v>
      </c>
      <c r="AB40" s="9">
        <f>IF(OR(Table1[[#This Row],[Cost_Variance]]="",Table1[[#This Row],[Budget_ZAR]]=""),0,Table1[[#This Row],[Cost_Variance]]/Table1[[#This Row],[Budget_ZAR]])</f>
        <v>0.16061485242314005</v>
      </c>
      <c r="AC40" t="str">
        <f>IF(Table1[[#This Row],[Last_Updated]] = "","Missing Date",IF(Table1[[#This Row],[Last_Updated]]=_xlfn.MAXIFS(Table1[Last_Updated],Table1[Project_ID],Table1[[#This Row],[Project_ID]]),"Latest","Older"))</f>
        <v>Older</v>
      </c>
      <c r="AD40">
        <f>COUNTIFS(Table1[Project_ID],Table1[[#This Row],[Project_ID]],Table1[Last_Updated],"&gt;0")</f>
        <v>7</v>
      </c>
      <c r="AE40">
        <f>COUNTIFS(Table1[Project_ID],Table1[[#This Row],[Project_ID]],Table1[Latest_Record_Flag],"Latest")</f>
        <v>1</v>
      </c>
      <c r="AF40" t="str">
        <f>IF(Table1[[#This Row],[Latest_Count]]&gt;1,"Potential Duplicate -Review","Unique")</f>
        <v>Unique</v>
      </c>
      <c r="AG40" t="str">
        <f>IF(Table1[[#This Row],[Latest_Record_Flag]]&lt;&gt;"Latest","",IF(Table1[[#This Row],[Latest_Count]]&gt;1,"Review - Tied Latest Date", "OK"))</f>
        <v/>
      </c>
    </row>
    <row r="41" spans="1:33" x14ac:dyDescent="0.25">
      <c r="A41" s="2" t="s">
        <v>150</v>
      </c>
      <c r="B41" s="2" t="s">
        <v>120</v>
      </c>
      <c r="C41" s="2" t="s">
        <v>57</v>
      </c>
      <c r="D41" s="2" t="s">
        <v>117</v>
      </c>
      <c r="E41" s="2" t="s">
        <v>20</v>
      </c>
      <c r="F41" s="2" t="s">
        <v>48</v>
      </c>
      <c r="G41" s="2" t="s">
        <v>22</v>
      </c>
      <c r="H41" s="2" t="s">
        <v>108</v>
      </c>
      <c r="I41" s="5">
        <v>45693</v>
      </c>
      <c r="J41" s="2">
        <v>30</v>
      </c>
      <c r="K41" s="2">
        <v>63</v>
      </c>
      <c r="L41" s="14">
        <v>443937.49</v>
      </c>
      <c r="M41" s="14" t="str">
        <f>IF(Table1[[#This Row],[Budget_ZAR]]="", "Missing", "Present")</f>
        <v>Present</v>
      </c>
      <c r="N41" s="14">
        <v>401160.41</v>
      </c>
      <c r="O41" s="14" t="str">
        <f>IF(Table1[[#This Row],[Actual_Cost_ZAR]]="","Missing","Present")</f>
        <v>Present</v>
      </c>
      <c r="P41"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41" s="2">
        <v>0</v>
      </c>
      <c r="R41" s="2" t="s">
        <v>49</v>
      </c>
      <c r="S41" s="2" t="str" cm="1">
        <f t="array" ref="S41">IF(Table1[[#This Row],[Progress_Percent]]="unknown","Unknown",_xlfn.IFS(Table1[[#This Row],[Progress_Percent]]&lt;=10,"Planning",Table1[[#This Row],[Progress_Percent]]&lt;100, "In Progress",Table1[[#This Row],[Progress_Percent]]=100,"Completed"))</f>
        <v>Planning</v>
      </c>
      <c r="T41" s="2" t="str">
        <f>IF(Table1[[#This Row],[Progress_Percent]]="unknown","Unknown",IF(Table1[[#This Row],[Project_Status]]="On Hold","Review",IF(Table1[[#This Row],[Project_Status]]=Table1[[#This Row],[Project_Expected_Status]],"OK","Mismatch")))</f>
        <v>Mismatch</v>
      </c>
      <c r="U41" s="5"/>
      <c r="V41">
        <f>Table1[[#This Row],[Actual_Duration_Days]]-Table1[[#This Row],[Planned_Duration_Days]]</f>
        <v>33</v>
      </c>
      <c r="W41" t="str" cm="1">
        <f t="array" ref="W41">_xlfn.IFS(Table1[[#This Row],[Schedule_Variance]]&gt;0,"Behind Schedule",Table1[[#This Row],[Schedule_Variance]]&lt;0,"Ahead of Schedule",Table1[[#This Row],[Schedule_Variance]]=0,"On Schedule")</f>
        <v>Behind Schedule</v>
      </c>
      <c r="X41" s="26">
        <f>IF(OR(ISBLANK(Table1[[#This Row],[Actual_Cost_ZAR]])),"",Table1[[#This Row],[Actual_Cost_ZAR]]-Table1[[#This Row],[Budget_ZAR]])</f>
        <v>-42777.080000000016</v>
      </c>
      <c r="Y41" s="9">
        <f>IF(OR(Table1[[#This Row],[Cost_Variance]]="",Table1[[#This Row],[Budget_ZAR]]=""),"",Table1[[#This Row],[Cost_Variance]]/Table1[[#This Row],[Budget_ZAR]])</f>
        <v>-9.6358340900652512E-2</v>
      </c>
      <c r="Z41" t="str">
        <f>IF(OR(Table1[[#This Row],[Budget_ZAR]]="",Table1[[#This Row],[Actual_Cost_ZAR]]=""),"Missing Data",IF(Table1[[#This Row],[Cost_Variance]]&lt;0,"Under Budget",IF(Table1[[#This Row],[Cost_Variance]]=0,"On Budget","Over Budget")))</f>
        <v>Under Budget</v>
      </c>
      <c r="AA41" s="26">
        <f>IF(OR(ISBLANK(Table1[[#This Row],[Actual_Cost_ZAR]]),ISBLANK(Table1[[#This Row],[Budget_ZAR]])),0,Table1[[#This Row],[Actual_Cost_ZAR]]-Table1[[#This Row],[Budget_ZAR]])</f>
        <v>-42777.080000000016</v>
      </c>
      <c r="AB41" s="9">
        <f>IF(OR(Table1[[#This Row],[Cost_Variance]]="",Table1[[#This Row],[Budget_ZAR]]=""),0,Table1[[#This Row],[Cost_Variance]]/Table1[[#This Row],[Budget_ZAR]])</f>
        <v>-9.6358340900652512E-2</v>
      </c>
      <c r="AC41" t="str">
        <f>IF(Table1[[#This Row],[Last_Updated]] = "","Missing Date",IF(Table1[[#This Row],[Last_Updated]]=_xlfn.MAXIFS(Table1[Last_Updated],Table1[Project_ID],Table1[[#This Row],[Project_ID]]),"Latest","Older"))</f>
        <v>Missing Date</v>
      </c>
      <c r="AD41">
        <f>COUNTIFS(Table1[Project_ID],Table1[[#This Row],[Project_ID]],Table1[Last_Updated],"&gt;0")</f>
        <v>3</v>
      </c>
      <c r="AE41">
        <f>COUNTIFS(Table1[Project_ID],Table1[[#This Row],[Project_ID]],Table1[Latest_Record_Flag],"Latest")</f>
        <v>1</v>
      </c>
      <c r="AF41" t="str">
        <f>IF(Table1[[#This Row],[Latest_Count]]&gt;1,"Potential Duplicate -Review","Unique")</f>
        <v>Unique</v>
      </c>
      <c r="AG41" t="str">
        <f>IF(Table1[[#This Row],[Latest_Record_Flag]]&lt;&gt;"Latest","",IF(Table1[[#This Row],[Latest_Count]]&gt;1,"Review - Tied Latest Date", "OK"))</f>
        <v/>
      </c>
    </row>
    <row r="42" spans="1:33" x14ac:dyDescent="0.25">
      <c r="A42" s="2" t="s">
        <v>151</v>
      </c>
      <c r="B42" s="2" t="s">
        <v>115</v>
      </c>
      <c r="C42" s="2" t="s">
        <v>111</v>
      </c>
      <c r="D42" s="2" t="s">
        <v>58</v>
      </c>
      <c r="E42" s="2" t="s">
        <v>20</v>
      </c>
      <c r="F42" s="2" t="s">
        <v>30</v>
      </c>
      <c r="G42" s="2" t="s">
        <v>95</v>
      </c>
      <c r="H42" s="2" t="s">
        <v>38</v>
      </c>
      <c r="I42" s="5">
        <v>45846</v>
      </c>
      <c r="J42" s="2">
        <v>62</v>
      </c>
      <c r="K42" s="2">
        <v>85</v>
      </c>
      <c r="L42" s="14">
        <v>4045296.84</v>
      </c>
      <c r="M42" s="14" t="str">
        <f>IF(Table1[[#This Row],[Budget_ZAR]]="", "Missing", "Present")</f>
        <v>Present</v>
      </c>
      <c r="N42" s="14">
        <v>4668122.17</v>
      </c>
      <c r="O42" s="14" t="str">
        <f>IF(Table1[[#This Row],[Actual_Cost_ZAR]]="","Missing","Present")</f>
        <v>Present</v>
      </c>
      <c r="P42"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42" s="2">
        <v>10</v>
      </c>
      <c r="R42" s="2" t="s">
        <v>54</v>
      </c>
      <c r="S42" s="2" t="str" cm="1">
        <f t="array" ref="S42">IF(Table1[[#This Row],[Progress_Percent]]="unknown","Unknown",_xlfn.IFS(Table1[[#This Row],[Progress_Percent]]&lt;=10,"Planning",Table1[[#This Row],[Progress_Percent]]&lt;100, "In Progress",Table1[[#This Row],[Progress_Percent]]=100,"Completed"))</f>
        <v>Planning</v>
      </c>
      <c r="T42" s="2" t="str">
        <f>IF(Table1[[#This Row],[Progress_Percent]]="unknown","Unknown",IF(Table1[[#This Row],[Project_Status]]="On Hold","Review",IF(Table1[[#This Row],[Project_Status]]=Table1[[#This Row],[Project_Expected_Status]],"OK","Mismatch")))</f>
        <v>Mismatch</v>
      </c>
      <c r="U42" s="5"/>
      <c r="V42">
        <f>Table1[[#This Row],[Actual_Duration_Days]]-Table1[[#This Row],[Planned_Duration_Days]]</f>
        <v>23</v>
      </c>
      <c r="W42" t="str" cm="1">
        <f t="array" ref="W42">_xlfn.IFS(Table1[[#This Row],[Schedule_Variance]]&gt;0,"Behind Schedule",Table1[[#This Row],[Schedule_Variance]]&lt;0,"Ahead of Schedule",Table1[[#This Row],[Schedule_Variance]]=0,"On Schedule")</f>
        <v>Behind Schedule</v>
      </c>
      <c r="X42" s="26">
        <f>IF(OR(ISBLANK(Table1[[#This Row],[Actual_Cost_ZAR]])),"",Table1[[#This Row],[Actual_Cost_ZAR]]-Table1[[#This Row],[Budget_ZAR]])</f>
        <v>622825.33000000007</v>
      </c>
      <c r="Y42" s="9">
        <f>IF(OR(Table1[[#This Row],[Cost_Variance]]="",Table1[[#This Row],[Budget_ZAR]]=""),"",Table1[[#This Row],[Cost_Variance]]/Table1[[#This Row],[Budget_ZAR]])</f>
        <v>0.15396282513596707</v>
      </c>
      <c r="Z42" t="str">
        <f>IF(OR(Table1[[#This Row],[Budget_ZAR]]="",Table1[[#This Row],[Actual_Cost_ZAR]]=""),"Missing Data",IF(Table1[[#This Row],[Cost_Variance]]&lt;0,"Under Budget",IF(Table1[[#This Row],[Cost_Variance]]=0,"On Budget","Over Budget")))</f>
        <v>Over Budget</v>
      </c>
      <c r="AA42" s="26">
        <f>IF(OR(ISBLANK(Table1[[#This Row],[Actual_Cost_ZAR]]),ISBLANK(Table1[[#This Row],[Budget_ZAR]])),0,Table1[[#This Row],[Actual_Cost_ZAR]]-Table1[[#This Row],[Budget_ZAR]])</f>
        <v>622825.33000000007</v>
      </c>
      <c r="AB42" s="9">
        <f>IF(OR(Table1[[#This Row],[Cost_Variance]]="",Table1[[#This Row],[Budget_ZAR]]=""),0,Table1[[#This Row],[Cost_Variance]]/Table1[[#This Row],[Budget_ZAR]])</f>
        <v>0.15396282513596707</v>
      </c>
      <c r="AC42" t="str">
        <f>IF(Table1[[#This Row],[Last_Updated]] = "","Missing Date",IF(Table1[[#This Row],[Last_Updated]]=_xlfn.MAXIFS(Table1[Last_Updated],Table1[Project_ID],Table1[[#This Row],[Project_ID]]),"Latest","Older"))</f>
        <v>Missing Date</v>
      </c>
      <c r="AD42">
        <f>COUNTIFS(Table1[Project_ID],Table1[[#This Row],[Project_ID]],Table1[Last_Updated],"&gt;0")</f>
        <v>3</v>
      </c>
      <c r="AE42">
        <f>COUNTIFS(Table1[Project_ID],Table1[[#This Row],[Project_ID]],Table1[Latest_Record_Flag],"Latest")</f>
        <v>1</v>
      </c>
      <c r="AF42" t="str">
        <f>IF(Table1[[#This Row],[Latest_Count]]&gt;1,"Potential Duplicate -Review","Unique")</f>
        <v>Unique</v>
      </c>
      <c r="AG42" t="str">
        <f>IF(Table1[[#This Row],[Latest_Record_Flag]]&lt;&gt;"Latest","",IF(Table1[[#This Row],[Latest_Count]]&gt;1,"Review - Tied Latest Date", "OK"))</f>
        <v/>
      </c>
    </row>
    <row r="43" spans="1:33" x14ac:dyDescent="0.25">
      <c r="A43" s="2" t="s">
        <v>152</v>
      </c>
      <c r="B43" s="2" t="s">
        <v>131</v>
      </c>
      <c r="C43" s="2" t="s">
        <v>89</v>
      </c>
      <c r="D43" s="2" t="s">
        <v>117</v>
      </c>
      <c r="E43" s="2" t="s">
        <v>68</v>
      </c>
      <c r="F43" s="2" t="s">
        <v>44</v>
      </c>
      <c r="G43" s="2" t="s">
        <v>31</v>
      </c>
      <c r="H43" s="2" t="s">
        <v>61</v>
      </c>
      <c r="I43" s="5">
        <v>45759</v>
      </c>
      <c r="J43" s="2">
        <v>39</v>
      </c>
      <c r="K43" s="2">
        <v>61</v>
      </c>
      <c r="L43" s="14">
        <v>4566340.0999999996</v>
      </c>
      <c r="M43" s="14" t="str">
        <f>IF(Table1[[#This Row],[Budget_ZAR]]="", "Missing", "Present")</f>
        <v>Present</v>
      </c>
      <c r="N43" s="14">
        <v>4993846.33</v>
      </c>
      <c r="O43" s="14" t="str">
        <f>IF(Table1[[#This Row],[Actual_Cost_ZAR]]="","Missing","Present")</f>
        <v>Present</v>
      </c>
      <c r="P43"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43" s="2">
        <v>10</v>
      </c>
      <c r="R43" s="2" t="s">
        <v>54</v>
      </c>
      <c r="S43" s="2" t="str" cm="1">
        <f t="array" ref="S43">IF(Table1[[#This Row],[Progress_Percent]]="unknown","Unknown",_xlfn.IFS(Table1[[#This Row],[Progress_Percent]]&lt;=10,"Planning",Table1[[#This Row],[Progress_Percent]]&lt;100, "In Progress",Table1[[#This Row],[Progress_Percent]]=100,"Completed"))</f>
        <v>Planning</v>
      </c>
      <c r="T43" s="2" t="str">
        <f>IF(Table1[[#This Row],[Progress_Percent]]="unknown","Unknown",IF(Table1[[#This Row],[Project_Status]]="On Hold","Review",IF(Table1[[#This Row],[Project_Status]]=Table1[[#This Row],[Project_Expected_Status]],"OK","Mismatch")))</f>
        <v>Mismatch</v>
      </c>
      <c r="U43" s="5">
        <v>45889</v>
      </c>
      <c r="V43">
        <f>Table1[[#This Row],[Actual_Duration_Days]]-Table1[[#This Row],[Planned_Duration_Days]]</f>
        <v>22</v>
      </c>
      <c r="W43" t="str" cm="1">
        <f t="array" ref="W43">_xlfn.IFS(Table1[[#This Row],[Schedule_Variance]]&gt;0,"Behind Schedule",Table1[[#This Row],[Schedule_Variance]]&lt;0,"Ahead of Schedule",Table1[[#This Row],[Schedule_Variance]]=0,"On Schedule")</f>
        <v>Behind Schedule</v>
      </c>
      <c r="X43" s="26">
        <f>IF(OR(ISBLANK(Table1[[#This Row],[Actual_Cost_ZAR]])),"",Table1[[#This Row],[Actual_Cost_ZAR]]-Table1[[#This Row],[Budget_ZAR]])</f>
        <v>427506.23000000045</v>
      </c>
      <c r="Y43" s="9">
        <f>IF(OR(Table1[[#This Row],[Cost_Variance]]="",Table1[[#This Row],[Budget_ZAR]]=""),"",Table1[[#This Row],[Cost_Variance]]/Table1[[#This Row],[Budget_ZAR]])</f>
        <v>9.3621197860404765E-2</v>
      </c>
      <c r="Z43" t="str">
        <f>IF(OR(Table1[[#This Row],[Budget_ZAR]]="",Table1[[#This Row],[Actual_Cost_ZAR]]=""),"Missing Data",IF(Table1[[#This Row],[Cost_Variance]]&lt;0,"Under Budget",IF(Table1[[#This Row],[Cost_Variance]]=0,"On Budget","Over Budget")))</f>
        <v>Over Budget</v>
      </c>
      <c r="AA43" s="26">
        <f>IF(OR(ISBLANK(Table1[[#This Row],[Actual_Cost_ZAR]]),ISBLANK(Table1[[#This Row],[Budget_ZAR]])),0,Table1[[#This Row],[Actual_Cost_ZAR]]-Table1[[#This Row],[Budget_ZAR]])</f>
        <v>427506.23000000045</v>
      </c>
      <c r="AB43" s="9">
        <f>IF(OR(Table1[[#This Row],[Cost_Variance]]="",Table1[[#This Row],[Budget_ZAR]]=""),0,Table1[[#This Row],[Cost_Variance]]/Table1[[#This Row],[Budget_ZAR]])</f>
        <v>9.3621197860404765E-2</v>
      </c>
      <c r="AC43" t="str">
        <f>IF(Table1[[#This Row],[Last_Updated]] = "","Missing Date",IF(Table1[[#This Row],[Last_Updated]]=_xlfn.MAXIFS(Table1[Last_Updated],Table1[Project_ID],Table1[[#This Row],[Project_ID]]),"Latest","Older"))</f>
        <v>Older</v>
      </c>
      <c r="AD43">
        <f>COUNTIFS(Table1[Project_ID],Table1[[#This Row],[Project_ID]],Table1[Last_Updated],"&gt;0")</f>
        <v>7</v>
      </c>
      <c r="AE43">
        <f>COUNTIFS(Table1[Project_ID],Table1[[#This Row],[Project_ID]],Table1[Latest_Record_Flag],"Latest")</f>
        <v>1</v>
      </c>
      <c r="AF43" t="str">
        <f>IF(Table1[[#This Row],[Latest_Count]]&gt;1,"Potential Duplicate -Review","Unique")</f>
        <v>Unique</v>
      </c>
      <c r="AG43" t="str">
        <f>IF(Table1[[#This Row],[Latest_Record_Flag]]&lt;&gt;"Latest","",IF(Table1[[#This Row],[Latest_Count]]&gt;1,"Review - Tied Latest Date", "OK"))</f>
        <v/>
      </c>
    </row>
    <row r="44" spans="1:33" x14ac:dyDescent="0.25">
      <c r="A44" s="2" t="s">
        <v>153</v>
      </c>
      <c r="B44" s="2" t="s">
        <v>35</v>
      </c>
      <c r="C44" s="2" t="s">
        <v>154</v>
      </c>
      <c r="D44" s="2" t="s">
        <v>28</v>
      </c>
      <c r="E44" s="2" t="s">
        <v>68</v>
      </c>
      <c r="F44" s="2" t="s">
        <v>30</v>
      </c>
      <c r="G44" s="2" t="s">
        <v>95</v>
      </c>
      <c r="H44" s="2" t="s">
        <v>23</v>
      </c>
      <c r="I44" s="5">
        <v>45664</v>
      </c>
      <c r="J44" s="2">
        <v>127</v>
      </c>
      <c r="K44" s="2">
        <v>164</v>
      </c>
      <c r="L44" s="14">
        <v>3313760.66</v>
      </c>
      <c r="M44" s="14" t="str">
        <f>IF(Table1[[#This Row],[Budget_ZAR]]="", "Missing", "Present")</f>
        <v>Present</v>
      </c>
      <c r="N44" s="14">
        <v>3303029.71</v>
      </c>
      <c r="O44" s="14" t="str">
        <f>IF(Table1[[#This Row],[Actual_Cost_ZAR]]="","Missing","Present")</f>
        <v>Present</v>
      </c>
      <c r="P44"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44" s="2">
        <v>70</v>
      </c>
      <c r="R44" s="2" t="s">
        <v>49</v>
      </c>
      <c r="S44" s="2" t="str" cm="1">
        <f t="array" ref="S44">IF(Table1[[#This Row],[Progress_Percent]]="unknown","Unknown",_xlfn.IFS(Table1[[#This Row],[Progress_Percent]]&lt;=10,"Planning",Table1[[#This Row],[Progress_Percent]]&lt;100, "In Progress",Table1[[#This Row],[Progress_Percent]]=100,"Completed"))</f>
        <v>In Progress</v>
      </c>
      <c r="T44" s="2" t="str">
        <f>IF(Table1[[#This Row],[Progress_Percent]]="unknown","Unknown",IF(Table1[[#This Row],[Project_Status]]="On Hold","Review",IF(Table1[[#This Row],[Project_Status]]=Table1[[#This Row],[Project_Expected_Status]],"OK","Mismatch")))</f>
        <v>OK</v>
      </c>
      <c r="U44" s="5">
        <v>45788</v>
      </c>
      <c r="V44">
        <f>Table1[[#This Row],[Actual_Duration_Days]]-Table1[[#This Row],[Planned_Duration_Days]]</f>
        <v>37</v>
      </c>
      <c r="W44" t="str" cm="1">
        <f t="array" ref="W44">_xlfn.IFS(Table1[[#This Row],[Schedule_Variance]]&gt;0,"Behind Schedule",Table1[[#This Row],[Schedule_Variance]]&lt;0,"Ahead of Schedule",Table1[[#This Row],[Schedule_Variance]]=0,"On Schedule")</f>
        <v>Behind Schedule</v>
      </c>
      <c r="X44" s="26">
        <f>IF(OR(ISBLANK(Table1[[#This Row],[Actual_Cost_ZAR]])),"",Table1[[#This Row],[Actual_Cost_ZAR]]-Table1[[#This Row],[Budget_ZAR]])</f>
        <v>-10730.950000000186</v>
      </c>
      <c r="Y44" s="9">
        <f>IF(OR(Table1[[#This Row],[Cost_Variance]]="",Table1[[#This Row],[Budget_ZAR]]=""),"",Table1[[#This Row],[Cost_Variance]]/Table1[[#This Row],[Budget_ZAR]])</f>
        <v>-3.2382996543872862E-3</v>
      </c>
      <c r="Z44" t="str">
        <f>IF(OR(Table1[[#This Row],[Budget_ZAR]]="",Table1[[#This Row],[Actual_Cost_ZAR]]=""),"Missing Data",IF(Table1[[#This Row],[Cost_Variance]]&lt;0,"Under Budget",IF(Table1[[#This Row],[Cost_Variance]]=0,"On Budget","Over Budget")))</f>
        <v>Under Budget</v>
      </c>
      <c r="AA44" s="26">
        <f>IF(OR(ISBLANK(Table1[[#This Row],[Actual_Cost_ZAR]]),ISBLANK(Table1[[#This Row],[Budget_ZAR]])),0,Table1[[#This Row],[Actual_Cost_ZAR]]-Table1[[#This Row],[Budget_ZAR]])</f>
        <v>-10730.950000000186</v>
      </c>
      <c r="AB44" s="9">
        <f>IF(OR(Table1[[#This Row],[Cost_Variance]]="",Table1[[#This Row],[Budget_ZAR]]=""),0,Table1[[#This Row],[Cost_Variance]]/Table1[[#This Row],[Budget_ZAR]])</f>
        <v>-3.2382996543872862E-3</v>
      </c>
      <c r="AC44" t="str">
        <f>IF(Table1[[#This Row],[Last_Updated]] = "","Missing Date",IF(Table1[[#This Row],[Last_Updated]]=_xlfn.MAXIFS(Table1[Last_Updated],Table1[Project_ID],Table1[[#This Row],[Project_ID]]),"Latest","Older"))</f>
        <v>Older</v>
      </c>
      <c r="AD44">
        <f>COUNTIFS(Table1[Project_ID],Table1[[#This Row],[Project_ID]],Table1[Last_Updated],"&gt;0")</f>
        <v>6</v>
      </c>
      <c r="AE44">
        <f>COUNTIFS(Table1[Project_ID],Table1[[#This Row],[Project_ID]],Table1[Latest_Record_Flag],"Latest")</f>
        <v>1</v>
      </c>
      <c r="AF44" t="str">
        <f>IF(Table1[[#This Row],[Latest_Count]]&gt;1,"Potential Duplicate -Review","Unique")</f>
        <v>Unique</v>
      </c>
      <c r="AG44" t="str">
        <f>IF(Table1[[#This Row],[Latest_Record_Flag]]&lt;&gt;"Latest","",IF(Table1[[#This Row],[Latest_Count]]&gt;1,"Review - Tied Latest Date", "OK"))</f>
        <v/>
      </c>
    </row>
    <row r="45" spans="1:33" x14ac:dyDescent="0.25">
      <c r="A45" s="2" t="s">
        <v>155</v>
      </c>
      <c r="B45" s="2" t="s">
        <v>106</v>
      </c>
      <c r="C45" s="2" t="s">
        <v>81</v>
      </c>
      <c r="D45" s="2" t="s">
        <v>37</v>
      </c>
      <c r="E45" s="2" t="s">
        <v>68</v>
      </c>
      <c r="F45" s="2" t="s">
        <v>48</v>
      </c>
      <c r="G45" s="2" t="s">
        <v>76</v>
      </c>
      <c r="H45" s="2" t="s">
        <v>65</v>
      </c>
      <c r="I45" s="5">
        <v>45999</v>
      </c>
      <c r="J45" s="2">
        <v>171</v>
      </c>
      <c r="K45" s="2">
        <v>173</v>
      </c>
      <c r="L45" s="14">
        <v>2264403.64</v>
      </c>
      <c r="M45" s="14" t="str">
        <f>IF(Table1[[#This Row],[Budget_ZAR]]="", "Missing", "Present")</f>
        <v>Present</v>
      </c>
      <c r="N45" s="14">
        <v>2044184.92</v>
      </c>
      <c r="O45" s="14" t="str">
        <f>IF(Table1[[#This Row],[Actual_Cost_ZAR]]="","Missing","Present")</f>
        <v>Present</v>
      </c>
      <c r="P45"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45" s="2">
        <v>10</v>
      </c>
      <c r="R45" s="2" t="s">
        <v>54</v>
      </c>
      <c r="S45" s="2" t="str" cm="1">
        <f t="array" ref="S45">IF(Table1[[#This Row],[Progress_Percent]]="unknown","Unknown",_xlfn.IFS(Table1[[#This Row],[Progress_Percent]]&lt;=10,"Planning",Table1[[#This Row],[Progress_Percent]]&lt;100, "In Progress",Table1[[#This Row],[Progress_Percent]]=100,"Completed"))</f>
        <v>Planning</v>
      </c>
      <c r="T45" s="2" t="str">
        <f>IF(Table1[[#This Row],[Progress_Percent]]="unknown","Unknown",IF(Table1[[#This Row],[Project_Status]]="On Hold","Review",IF(Table1[[#This Row],[Project_Status]]=Table1[[#This Row],[Project_Expected_Status]],"OK","Mismatch")))</f>
        <v>Mismatch</v>
      </c>
      <c r="U45" s="5">
        <v>45889</v>
      </c>
      <c r="V45">
        <f>Table1[[#This Row],[Actual_Duration_Days]]-Table1[[#This Row],[Planned_Duration_Days]]</f>
        <v>2</v>
      </c>
      <c r="W45" t="str" cm="1">
        <f t="array" ref="W45">_xlfn.IFS(Table1[[#This Row],[Schedule_Variance]]&gt;0,"Behind Schedule",Table1[[#This Row],[Schedule_Variance]]&lt;0,"Ahead of Schedule",Table1[[#This Row],[Schedule_Variance]]=0,"On Schedule")</f>
        <v>Behind Schedule</v>
      </c>
      <c r="X45" s="26">
        <f>IF(OR(ISBLANK(Table1[[#This Row],[Actual_Cost_ZAR]])),"",Table1[[#This Row],[Actual_Cost_ZAR]]-Table1[[#This Row],[Budget_ZAR]])</f>
        <v>-220218.7200000002</v>
      </c>
      <c r="Y45" s="9">
        <f>IF(OR(Table1[[#This Row],[Cost_Variance]]="",Table1[[#This Row],[Budget_ZAR]]=""),"",Table1[[#This Row],[Cost_Variance]]/Table1[[#This Row],[Budget_ZAR]])</f>
        <v>-9.7252413885008673E-2</v>
      </c>
      <c r="Z45" t="str">
        <f>IF(OR(Table1[[#This Row],[Budget_ZAR]]="",Table1[[#This Row],[Actual_Cost_ZAR]]=""),"Missing Data",IF(Table1[[#This Row],[Cost_Variance]]&lt;0,"Under Budget",IF(Table1[[#This Row],[Cost_Variance]]=0,"On Budget","Over Budget")))</f>
        <v>Under Budget</v>
      </c>
      <c r="AA45" s="26">
        <f>IF(OR(ISBLANK(Table1[[#This Row],[Actual_Cost_ZAR]]),ISBLANK(Table1[[#This Row],[Budget_ZAR]])),0,Table1[[#This Row],[Actual_Cost_ZAR]]-Table1[[#This Row],[Budget_ZAR]])</f>
        <v>-220218.7200000002</v>
      </c>
      <c r="AB45" s="9">
        <f>IF(OR(Table1[[#This Row],[Cost_Variance]]="",Table1[[#This Row],[Budget_ZAR]]=""),0,Table1[[#This Row],[Cost_Variance]]/Table1[[#This Row],[Budget_ZAR]])</f>
        <v>-9.7252413885008673E-2</v>
      </c>
      <c r="AC45" t="str">
        <f>IF(Table1[[#This Row],[Last_Updated]] = "","Missing Date",IF(Table1[[#This Row],[Last_Updated]]=_xlfn.MAXIFS(Table1[Last_Updated],Table1[Project_ID],Table1[[#This Row],[Project_ID]]),"Latest","Older"))</f>
        <v>Older</v>
      </c>
      <c r="AD45">
        <f>COUNTIFS(Table1[Project_ID],Table1[[#This Row],[Project_ID]],Table1[Last_Updated],"&gt;0")</f>
        <v>6</v>
      </c>
      <c r="AE45">
        <f>COUNTIFS(Table1[Project_ID],Table1[[#This Row],[Project_ID]],Table1[Latest_Record_Flag],"Latest")</f>
        <v>1</v>
      </c>
      <c r="AF45" t="str">
        <f>IF(Table1[[#This Row],[Latest_Count]]&gt;1,"Potential Duplicate -Review","Unique")</f>
        <v>Unique</v>
      </c>
      <c r="AG45" t="str">
        <f>IF(Table1[[#This Row],[Latest_Record_Flag]]&lt;&gt;"Latest","",IF(Table1[[#This Row],[Latest_Count]]&gt;1,"Review - Tied Latest Date", "OK"))</f>
        <v/>
      </c>
    </row>
    <row r="46" spans="1:33" x14ac:dyDescent="0.25">
      <c r="A46" s="2" t="s">
        <v>156</v>
      </c>
      <c r="B46" s="2" t="s">
        <v>92</v>
      </c>
      <c r="C46" s="2" t="s">
        <v>27</v>
      </c>
      <c r="D46" s="2" t="s">
        <v>58</v>
      </c>
      <c r="E46" s="2" t="s">
        <v>85</v>
      </c>
      <c r="F46" s="2" t="s">
        <v>59</v>
      </c>
      <c r="G46" s="2" t="s">
        <v>22</v>
      </c>
      <c r="H46" s="2" t="s">
        <v>38</v>
      </c>
      <c r="I46" s="5">
        <v>45824</v>
      </c>
      <c r="J46" s="2">
        <v>66</v>
      </c>
      <c r="K46" s="2">
        <v>82</v>
      </c>
      <c r="L46" s="14">
        <v>1575749.06</v>
      </c>
      <c r="M46" s="14" t="str">
        <f>IF(Table1[[#This Row],[Budget_ZAR]]="", "Missing", "Present")</f>
        <v>Present</v>
      </c>
      <c r="N46" s="14">
        <v>1857676.06</v>
      </c>
      <c r="O46" s="14" t="str">
        <f>IF(Table1[[#This Row],[Actual_Cost_ZAR]]="","Missing","Present")</f>
        <v>Present</v>
      </c>
      <c r="P46"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46" s="2">
        <v>70</v>
      </c>
      <c r="R46" s="2" t="s">
        <v>54</v>
      </c>
      <c r="S46" s="2" t="str" cm="1">
        <f t="array" ref="S46">IF(Table1[[#This Row],[Progress_Percent]]="unknown","Unknown",_xlfn.IFS(Table1[[#This Row],[Progress_Percent]]&lt;=10,"Planning",Table1[[#This Row],[Progress_Percent]]&lt;100, "In Progress",Table1[[#This Row],[Progress_Percent]]=100,"Completed"))</f>
        <v>In Progress</v>
      </c>
      <c r="T46" s="2" t="str">
        <f>IF(Table1[[#This Row],[Progress_Percent]]="unknown","Unknown",IF(Table1[[#This Row],[Project_Status]]="On Hold","Review",IF(Table1[[#This Row],[Project_Status]]=Table1[[#This Row],[Project_Expected_Status]],"OK","Mismatch")))</f>
        <v>Mismatch</v>
      </c>
      <c r="U46" s="5">
        <v>45929</v>
      </c>
      <c r="V46">
        <f>Table1[[#This Row],[Actual_Duration_Days]]-Table1[[#This Row],[Planned_Duration_Days]]</f>
        <v>16</v>
      </c>
      <c r="W46" t="str" cm="1">
        <f t="array" ref="W46">_xlfn.IFS(Table1[[#This Row],[Schedule_Variance]]&gt;0,"Behind Schedule",Table1[[#This Row],[Schedule_Variance]]&lt;0,"Ahead of Schedule",Table1[[#This Row],[Schedule_Variance]]=0,"On Schedule")</f>
        <v>Behind Schedule</v>
      </c>
      <c r="X46" s="26">
        <f>IF(OR(ISBLANK(Table1[[#This Row],[Actual_Cost_ZAR]])),"",Table1[[#This Row],[Actual_Cost_ZAR]]-Table1[[#This Row],[Budget_ZAR]])</f>
        <v>281927</v>
      </c>
      <c r="Y46" s="9">
        <f>IF(OR(Table1[[#This Row],[Cost_Variance]]="",Table1[[#This Row],[Budget_ZAR]]=""),"",Table1[[#This Row],[Cost_Variance]]/Table1[[#This Row],[Budget_ZAR]])</f>
        <v>0.17891617844277818</v>
      </c>
      <c r="Z46" t="str">
        <f>IF(OR(Table1[[#This Row],[Budget_ZAR]]="",Table1[[#This Row],[Actual_Cost_ZAR]]=""),"Missing Data",IF(Table1[[#This Row],[Cost_Variance]]&lt;0,"Under Budget",IF(Table1[[#This Row],[Cost_Variance]]=0,"On Budget","Over Budget")))</f>
        <v>Over Budget</v>
      </c>
      <c r="AA46" s="26">
        <f>IF(OR(ISBLANK(Table1[[#This Row],[Actual_Cost_ZAR]]),ISBLANK(Table1[[#This Row],[Budget_ZAR]])),0,Table1[[#This Row],[Actual_Cost_ZAR]]-Table1[[#This Row],[Budget_ZAR]])</f>
        <v>281927</v>
      </c>
      <c r="AB46" s="9">
        <f>IF(OR(Table1[[#This Row],[Cost_Variance]]="",Table1[[#This Row],[Budget_ZAR]]=""),0,Table1[[#This Row],[Cost_Variance]]/Table1[[#This Row],[Budget_ZAR]])</f>
        <v>0.17891617844277818</v>
      </c>
      <c r="AC46" t="str">
        <f>IF(Table1[[#This Row],[Last_Updated]] = "","Missing Date",IF(Table1[[#This Row],[Last_Updated]]=_xlfn.MAXIFS(Table1[Last_Updated],Table1[Project_ID],Table1[[#This Row],[Project_ID]]),"Latest","Older"))</f>
        <v>Older</v>
      </c>
      <c r="AD46">
        <f>COUNTIFS(Table1[Project_ID],Table1[[#This Row],[Project_ID]],Table1[Last_Updated],"&gt;0")</f>
        <v>8</v>
      </c>
      <c r="AE46">
        <f>COUNTIFS(Table1[Project_ID],Table1[[#This Row],[Project_ID]],Table1[Latest_Record_Flag],"Latest")</f>
        <v>1</v>
      </c>
      <c r="AF46" t="str">
        <f>IF(Table1[[#This Row],[Latest_Count]]&gt;1,"Potential Duplicate -Review","Unique")</f>
        <v>Unique</v>
      </c>
      <c r="AG46" t="str">
        <f>IF(Table1[[#This Row],[Latest_Record_Flag]]&lt;&gt;"Latest","",IF(Table1[[#This Row],[Latest_Count]]&gt;1,"Review - Tied Latest Date", "OK"))</f>
        <v/>
      </c>
    </row>
    <row r="47" spans="1:33" x14ac:dyDescent="0.25">
      <c r="A47" s="2" t="s">
        <v>158</v>
      </c>
      <c r="B47" s="2" t="s">
        <v>92</v>
      </c>
      <c r="C47" s="2" t="s">
        <v>67</v>
      </c>
      <c r="D47" s="2" t="s">
        <v>28</v>
      </c>
      <c r="E47" s="2" t="s">
        <v>29</v>
      </c>
      <c r="F47" s="2" t="s">
        <v>21</v>
      </c>
      <c r="G47" s="2" t="s">
        <v>31</v>
      </c>
      <c r="H47" s="2" t="s">
        <v>38</v>
      </c>
      <c r="I47" s="5">
        <v>45942</v>
      </c>
      <c r="J47" s="2">
        <v>81</v>
      </c>
      <c r="K47" s="2">
        <v>110</v>
      </c>
      <c r="L47" s="14">
        <v>3225581.94</v>
      </c>
      <c r="M47" s="14" t="str">
        <f>IF(Table1[[#This Row],[Budget_ZAR]]="", "Missing", "Present")</f>
        <v>Present</v>
      </c>
      <c r="N47" s="14">
        <v>3664006.92</v>
      </c>
      <c r="O47" s="14" t="str">
        <f>IF(Table1[[#This Row],[Actual_Cost_ZAR]]="","Missing","Present")</f>
        <v>Present</v>
      </c>
      <c r="P47"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47" s="2" t="s">
        <v>160</v>
      </c>
      <c r="R47" s="2" t="s">
        <v>24</v>
      </c>
      <c r="S47" s="2" t="str" cm="1">
        <f t="array" ref="S47">IF(Table1[[#This Row],[Progress_Percent]]="unknown","Unknown",_xlfn.IFS(Table1[[#This Row],[Progress_Percent]]&lt;=10,"Planning",Table1[[#This Row],[Progress_Percent]]&lt;100, "In Progress",Table1[[#This Row],[Progress_Percent]]=100,"Completed"))</f>
        <v>Unknown</v>
      </c>
      <c r="T47" s="2" t="str">
        <f>IF(Table1[[#This Row],[Progress_Percent]]="unknown","Unknown",IF(Table1[[#This Row],[Project_Status]]="On Hold","Review",IF(Table1[[#This Row],[Project_Status]]=Table1[[#This Row],[Project_Expected_Status]],"OK","Mismatch")))</f>
        <v>Unknown</v>
      </c>
      <c r="U47" s="5">
        <v>46091</v>
      </c>
      <c r="V47">
        <f>Table1[[#This Row],[Actual_Duration_Days]]-Table1[[#This Row],[Planned_Duration_Days]]</f>
        <v>29</v>
      </c>
      <c r="W47" t="str" cm="1">
        <f t="array" ref="W47">_xlfn.IFS(Table1[[#This Row],[Schedule_Variance]]&gt;0,"Behind Schedule",Table1[[#This Row],[Schedule_Variance]]&lt;0,"Ahead of Schedule",Table1[[#This Row],[Schedule_Variance]]=0,"On Schedule")</f>
        <v>Behind Schedule</v>
      </c>
      <c r="X47" s="26">
        <f>IF(OR(ISBLANK(Table1[[#This Row],[Actual_Cost_ZAR]])),"",Table1[[#This Row],[Actual_Cost_ZAR]]-Table1[[#This Row],[Budget_ZAR]])</f>
        <v>438424.98</v>
      </c>
      <c r="Y47" s="9">
        <f>IF(OR(Table1[[#This Row],[Cost_Variance]]="",Table1[[#This Row],[Budget_ZAR]]=""),"",Table1[[#This Row],[Cost_Variance]]/Table1[[#This Row],[Budget_ZAR]])</f>
        <v>0.1359212037254896</v>
      </c>
      <c r="Z47" t="str">
        <f>IF(OR(Table1[[#This Row],[Budget_ZAR]]="",Table1[[#This Row],[Actual_Cost_ZAR]]=""),"Missing Data",IF(Table1[[#This Row],[Cost_Variance]]&lt;0,"Under Budget",IF(Table1[[#This Row],[Cost_Variance]]=0,"On Budget","Over Budget")))</f>
        <v>Over Budget</v>
      </c>
      <c r="AA47" s="26">
        <f>IF(OR(ISBLANK(Table1[[#This Row],[Actual_Cost_ZAR]]),ISBLANK(Table1[[#This Row],[Budget_ZAR]])),0,Table1[[#This Row],[Actual_Cost_ZAR]]-Table1[[#This Row],[Budget_ZAR]])</f>
        <v>438424.98</v>
      </c>
      <c r="AB47" s="9">
        <f>IF(OR(Table1[[#This Row],[Cost_Variance]]="",Table1[[#This Row],[Budget_ZAR]]=""),0,Table1[[#This Row],[Cost_Variance]]/Table1[[#This Row],[Budget_ZAR]])</f>
        <v>0.1359212037254896</v>
      </c>
      <c r="AC47" t="str">
        <f>IF(Table1[[#This Row],[Last_Updated]] = "","Missing Date",IF(Table1[[#This Row],[Last_Updated]]=_xlfn.MAXIFS(Table1[Last_Updated],Table1[Project_ID],Table1[[#This Row],[Project_ID]]),"Latest","Older"))</f>
        <v>Latest</v>
      </c>
      <c r="AD47">
        <f>COUNTIFS(Table1[Project_ID],Table1[[#This Row],[Project_ID]],Table1[Last_Updated],"&gt;0")</f>
        <v>8</v>
      </c>
      <c r="AE47">
        <f>COUNTIFS(Table1[Project_ID],Table1[[#This Row],[Project_ID]],Table1[Latest_Record_Flag],"Latest")</f>
        <v>1</v>
      </c>
      <c r="AF47" t="str">
        <f>IF(Table1[[#This Row],[Latest_Count]]&gt;1,"Potential Duplicate -Review","Unique")</f>
        <v>Unique</v>
      </c>
      <c r="AG47" t="str">
        <f>IF(Table1[[#This Row],[Latest_Record_Flag]]&lt;&gt;"Latest","",IF(Table1[[#This Row],[Latest_Count]]&gt;1,"Review - Tied Latest Date", "OK"))</f>
        <v>OK</v>
      </c>
    </row>
    <row r="48" spans="1:33" x14ac:dyDescent="0.25">
      <c r="A48" s="2" t="s">
        <v>161</v>
      </c>
      <c r="B48" s="2" t="s">
        <v>41</v>
      </c>
      <c r="C48" s="2" t="s">
        <v>162</v>
      </c>
      <c r="D48" s="2" t="s">
        <v>117</v>
      </c>
      <c r="E48" s="2" t="s">
        <v>43</v>
      </c>
      <c r="F48" s="2" t="s">
        <v>30</v>
      </c>
      <c r="G48" s="2" t="s">
        <v>22</v>
      </c>
      <c r="H48" s="2" t="s">
        <v>61</v>
      </c>
      <c r="I48" s="5">
        <v>45900</v>
      </c>
      <c r="J48" s="2">
        <v>161</v>
      </c>
      <c r="K48" s="2">
        <v>179</v>
      </c>
      <c r="L48" s="14">
        <v>2398483.71</v>
      </c>
      <c r="M48" s="14" t="str">
        <f>IF(Table1[[#This Row],[Budget_ZAR]]="", "Missing", "Present")</f>
        <v>Present</v>
      </c>
      <c r="N48" s="14">
        <v>3066019.46</v>
      </c>
      <c r="O48" s="14" t="str">
        <f>IF(Table1[[#This Row],[Actual_Cost_ZAR]]="","Missing","Present")</f>
        <v>Present</v>
      </c>
      <c r="P48"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48" s="2"/>
      <c r="R48" s="2" t="s">
        <v>54</v>
      </c>
      <c r="S48" s="2" t="str" cm="1">
        <f t="array" ref="S48">IF(Table1[[#This Row],[Progress_Percent]]="unknown","Unknown",_xlfn.IFS(Table1[[#This Row],[Progress_Percent]]&lt;=10,"Planning",Table1[[#This Row],[Progress_Percent]]&lt;100, "In Progress",Table1[[#This Row],[Progress_Percent]]=100,"Completed"))</f>
        <v>Planning</v>
      </c>
      <c r="T48" s="2" t="str">
        <f>IF(Table1[[#This Row],[Progress_Percent]]="unknown","Unknown",IF(Table1[[#This Row],[Project_Status]]="On Hold","Review",IF(Table1[[#This Row],[Project_Status]]=Table1[[#This Row],[Project_Expected_Status]],"OK","Mismatch")))</f>
        <v>Mismatch</v>
      </c>
      <c r="U48" s="5">
        <v>45950</v>
      </c>
      <c r="V48">
        <f>Table1[[#This Row],[Actual_Duration_Days]]-Table1[[#This Row],[Planned_Duration_Days]]</f>
        <v>18</v>
      </c>
      <c r="W48" t="str" cm="1">
        <f t="array" ref="W48">_xlfn.IFS(Table1[[#This Row],[Schedule_Variance]]&gt;0,"Behind Schedule",Table1[[#This Row],[Schedule_Variance]]&lt;0,"Ahead of Schedule",Table1[[#This Row],[Schedule_Variance]]=0,"On Schedule")</f>
        <v>Behind Schedule</v>
      </c>
      <c r="X48" s="26">
        <f>IF(OR(ISBLANK(Table1[[#This Row],[Actual_Cost_ZAR]])),"",Table1[[#This Row],[Actual_Cost_ZAR]]-Table1[[#This Row],[Budget_ZAR]])</f>
        <v>667535.75</v>
      </c>
      <c r="Y48" s="9">
        <f>IF(OR(Table1[[#This Row],[Cost_Variance]]="",Table1[[#This Row],[Budget_ZAR]]=""),"",Table1[[#This Row],[Cost_Variance]]/Table1[[#This Row],[Budget_ZAR]])</f>
        <v>0.27831573223401213</v>
      </c>
      <c r="Z48" t="str">
        <f>IF(OR(Table1[[#This Row],[Budget_ZAR]]="",Table1[[#This Row],[Actual_Cost_ZAR]]=""),"Missing Data",IF(Table1[[#This Row],[Cost_Variance]]&lt;0,"Under Budget",IF(Table1[[#This Row],[Cost_Variance]]=0,"On Budget","Over Budget")))</f>
        <v>Over Budget</v>
      </c>
      <c r="AA48" s="26">
        <f>IF(OR(ISBLANK(Table1[[#This Row],[Actual_Cost_ZAR]]),ISBLANK(Table1[[#This Row],[Budget_ZAR]])),0,Table1[[#This Row],[Actual_Cost_ZAR]]-Table1[[#This Row],[Budget_ZAR]])</f>
        <v>667535.75</v>
      </c>
      <c r="AB48" s="9">
        <f>IF(OR(Table1[[#This Row],[Cost_Variance]]="",Table1[[#This Row],[Budget_ZAR]]=""),0,Table1[[#This Row],[Cost_Variance]]/Table1[[#This Row],[Budget_ZAR]])</f>
        <v>0.27831573223401213</v>
      </c>
      <c r="AC48" t="str">
        <f>IF(Table1[[#This Row],[Last_Updated]] = "","Missing Date",IF(Table1[[#This Row],[Last_Updated]]=_xlfn.MAXIFS(Table1[Last_Updated],Table1[Project_ID],Table1[[#This Row],[Project_ID]]),"Latest","Older"))</f>
        <v>Older</v>
      </c>
      <c r="AD48">
        <f>COUNTIFS(Table1[Project_ID],Table1[[#This Row],[Project_ID]],Table1[Last_Updated],"&gt;0")</f>
        <v>4</v>
      </c>
      <c r="AE48">
        <f>COUNTIFS(Table1[Project_ID],Table1[[#This Row],[Project_ID]],Table1[Latest_Record_Flag],"Latest")</f>
        <v>1</v>
      </c>
      <c r="AF48" t="str">
        <f>IF(Table1[[#This Row],[Latest_Count]]&gt;1,"Potential Duplicate -Review","Unique")</f>
        <v>Unique</v>
      </c>
      <c r="AG48" t="str">
        <f>IF(Table1[[#This Row],[Latest_Record_Flag]]&lt;&gt;"Latest","",IF(Table1[[#This Row],[Latest_Count]]&gt;1,"Review - Tied Latest Date", "OK"))</f>
        <v/>
      </c>
    </row>
    <row r="49" spans="1:33" x14ac:dyDescent="0.25">
      <c r="A49" s="2" t="s">
        <v>163</v>
      </c>
      <c r="B49" s="2" t="s">
        <v>35</v>
      </c>
      <c r="C49" s="2" t="s">
        <v>164</v>
      </c>
      <c r="D49" s="2" t="s">
        <v>328</v>
      </c>
      <c r="E49" s="2" t="s">
        <v>85</v>
      </c>
      <c r="F49" s="2" t="s">
        <v>30</v>
      </c>
      <c r="G49" s="2" t="s">
        <v>22</v>
      </c>
      <c r="H49" s="2" t="s">
        <v>65</v>
      </c>
      <c r="I49" s="5">
        <v>45719</v>
      </c>
      <c r="J49" s="2">
        <v>157</v>
      </c>
      <c r="K49" s="2">
        <v>202</v>
      </c>
      <c r="L49" s="14">
        <v>5013685.0599999996</v>
      </c>
      <c r="M49" s="14" t="str">
        <f>IF(Table1[[#This Row],[Budget_ZAR]]="", "Missing", "Present")</f>
        <v>Present</v>
      </c>
      <c r="N49" s="14">
        <v>4374815.8499999996</v>
      </c>
      <c r="O49" s="14" t="str">
        <f>IF(Table1[[#This Row],[Actual_Cost_ZAR]]="","Missing","Present")</f>
        <v>Present</v>
      </c>
      <c r="P49"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49" s="2">
        <v>40</v>
      </c>
      <c r="R49" s="2" t="s">
        <v>49</v>
      </c>
      <c r="S49" s="2" t="str" cm="1">
        <f t="array" ref="S49">IF(Table1[[#This Row],[Progress_Percent]]="unknown","Unknown",_xlfn.IFS(Table1[[#This Row],[Progress_Percent]]&lt;=10,"Planning",Table1[[#This Row],[Progress_Percent]]&lt;100, "In Progress",Table1[[#This Row],[Progress_Percent]]=100,"Completed"))</f>
        <v>In Progress</v>
      </c>
      <c r="T49" s="2" t="str">
        <f>IF(Table1[[#This Row],[Progress_Percent]]="unknown","Unknown",IF(Table1[[#This Row],[Project_Status]]="On Hold","Review",IF(Table1[[#This Row],[Project_Status]]=Table1[[#This Row],[Project_Expected_Status]],"OK","Mismatch")))</f>
        <v>OK</v>
      </c>
      <c r="U49" s="5">
        <v>45765</v>
      </c>
      <c r="V49">
        <f>Table1[[#This Row],[Actual_Duration_Days]]-Table1[[#This Row],[Planned_Duration_Days]]</f>
        <v>45</v>
      </c>
      <c r="W49" t="str" cm="1">
        <f t="array" ref="W49">_xlfn.IFS(Table1[[#This Row],[Schedule_Variance]]&gt;0,"Behind Schedule",Table1[[#This Row],[Schedule_Variance]]&lt;0,"Ahead of Schedule",Table1[[#This Row],[Schedule_Variance]]=0,"On Schedule")</f>
        <v>Behind Schedule</v>
      </c>
      <c r="X49" s="26">
        <f>IF(OR(ISBLANK(Table1[[#This Row],[Actual_Cost_ZAR]])),"",Table1[[#This Row],[Actual_Cost_ZAR]]-Table1[[#This Row],[Budget_ZAR]])</f>
        <v>-638869.21</v>
      </c>
      <c r="Y49" s="9">
        <f>IF(OR(Table1[[#This Row],[Cost_Variance]]="",Table1[[#This Row],[Budget_ZAR]]=""),"",Table1[[#This Row],[Cost_Variance]]/Table1[[#This Row],[Budget_ZAR]])</f>
        <v>-0.12742507803232458</v>
      </c>
      <c r="Z49" t="str">
        <f>IF(OR(Table1[[#This Row],[Budget_ZAR]]="",Table1[[#This Row],[Actual_Cost_ZAR]]=""),"Missing Data",IF(Table1[[#This Row],[Cost_Variance]]&lt;0,"Under Budget",IF(Table1[[#This Row],[Cost_Variance]]=0,"On Budget","Over Budget")))</f>
        <v>Under Budget</v>
      </c>
      <c r="AA49" s="26">
        <f>IF(OR(ISBLANK(Table1[[#This Row],[Actual_Cost_ZAR]]),ISBLANK(Table1[[#This Row],[Budget_ZAR]])),0,Table1[[#This Row],[Actual_Cost_ZAR]]-Table1[[#This Row],[Budget_ZAR]])</f>
        <v>-638869.21</v>
      </c>
      <c r="AB49" s="9">
        <f>IF(OR(Table1[[#This Row],[Cost_Variance]]="",Table1[[#This Row],[Budget_ZAR]]=""),0,Table1[[#This Row],[Cost_Variance]]/Table1[[#This Row],[Budget_ZAR]])</f>
        <v>-0.12742507803232458</v>
      </c>
      <c r="AC49" t="str">
        <f>IF(Table1[[#This Row],[Last_Updated]] = "","Missing Date",IF(Table1[[#This Row],[Last_Updated]]=_xlfn.MAXIFS(Table1[Last_Updated],Table1[Project_ID],Table1[[#This Row],[Project_ID]]),"Latest","Older"))</f>
        <v>Older</v>
      </c>
      <c r="AD49">
        <f>COUNTIFS(Table1[Project_ID],Table1[[#This Row],[Project_ID]],Table1[Last_Updated],"&gt;0")</f>
        <v>6</v>
      </c>
      <c r="AE49">
        <f>COUNTIFS(Table1[Project_ID],Table1[[#This Row],[Project_ID]],Table1[Latest_Record_Flag],"Latest")</f>
        <v>1</v>
      </c>
      <c r="AF49" t="str">
        <f>IF(Table1[[#This Row],[Latest_Count]]&gt;1,"Potential Duplicate -Review","Unique")</f>
        <v>Unique</v>
      </c>
      <c r="AG49" t="str">
        <f>IF(Table1[[#This Row],[Latest_Record_Flag]]&lt;&gt;"Latest","",IF(Table1[[#This Row],[Latest_Count]]&gt;1,"Review - Tied Latest Date", "OK"))</f>
        <v/>
      </c>
    </row>
    <row r="50" spans="1:33" x14ac:dyDescent="0.25">
      <c r="A50" s="2" t="s">
        <v>166</v>
      </c>
      <c r="B50" s="2" t="s">
        <v>110</v>
      </c>
      <c r="C50" s="2" t="s">
        <v>47</v>
      </c>
      <c r="D50" s="2" t="s">
        <v>19</v>
      </c>
      <c r="E50" s="2" t="s">
        <v>20</v>
      </c>
      <c r="F50" s="2" t="s">
        <v>48</v>
      </c>
      <c r="G50" s="2" t="s">
        <v>31</v>
      </c>
      <c r="H50" s="2" t="s">
        <v>108</v>
      </c>
      <c r="I50" s="5">
        <v>45665</v>
      </c>
      <c r="J50" s="2">
        <v>156</v>
      </c>
      <c r="K50" s="2">
        <v>149</v>
      </c>
      <c r="L50" s="14">
        <v>1964445.79</v>
      </c>
      <c r="M50" s="14" t="str">
        <f>IF(Table1[[#This Row],[Budget_ZAR]]="", "Missing", "Present")</f>
        <v>Present</v>
      </c>
      <c r="N50" s="14">
        <v>2489242.5</v>
      </c>
      <c r="O50" s="14" t="str">
        <f>IF(Table1[[#This Row],[Actual_Cost_ZAR]]="","Missing","Present")</f>
        <v>Present</v>
      </c>
      <c r="P50"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50" s="2"/>
      <c r="R50" s="2" t="s">
        <v>54</v>
      </c>
      <c r="S50" s="2" t="str" cm="1">
        <f t="array" ref="S50">IF(Table1[[#This Row],[Progress_Percent]]="unknown","Unknown",_xlfn.IFS(Table1[[#This Row],[Progress_Percent]]&lt;=10,"Planning",Table1[[#This Row],[Progress_Percent]]&lt;100, "In Progress",Table1[[#This Row],[Progress_Percent]]=100,"Completed"))</f>
        <v>Planning</v>
      </c>
      <c r="T50" s="2" t="str">
        <f>IF(Table1[[#This Row],[Progress_Percent]]="unknown","Unknown",IF(Table1[[#This Row],[Project_Status]]="On Hold","Review",IF(Table1[[#This Row],[Project_Status]]=Table1[[#This Row],[Project_Expected_Status]],"OK","Mismatch")))</f>
        <v>Mismatch</v>
      </c>
      <c r="U50" s="5">
        <v>45788</v>
      </c>
      <c r="V50">
        <f>Table1[[#This Row],[Actual_Duration_Days]]-Table1[[#This Row],[Planned_Duration_Days]]</f>
        <v>-7</v>
      </c>
      <c r="W50" t="str" cm="1">
        <f t="array" ref="W50">_xlfn.IFS(Table1[[#This Row],[Schedule_Variance]]&gt;0,"Behind Schedule",Table1[[#This Row],[Schedule_Variance]]&lt;0,"Ahead of Schedule",Table1[[#This Row],[Schedule_Variance]]=0,"On Schedule")</f>
        <v>Ahead of Schedule</v>
      </c>
      <c r="X50" s="26">
        <f>IF(OR(ISBLANK(Table1[[#This Row],[Actual_Cost_ZAR]])),"",Table1[[#This Row],[Actual_Cost_ZAR]]-Table1[[#This Row],[Budget_ZAR]])</f>
        <v>524796.71</v>
      </c>
      <c r="Y50" s="9">
        <f>IF(OR(Table1[[#This Row],[Cost_Variance]]="",Table1[[#This Row],[Budget_ZAR]]=""),"",Table1[[#This Row],[Cost_Variance]]/Table1[[#This Row],[Budget_ZAR]])</f>
        <v>0.26714746350928825</v>
      </c>
      <c r="Z50" t="str">
        <f>IF(OR(Table1[[#This Row],[Budget_ZAR]]="",Table1[[#This Row],[Actual_Cost_ZAR]]=""),"Missing Data",IF(Table1[[#This Row],[Cost_Variance]]&lt;0,"Under Budget",IF(Table1[[#This Row],[Cost_Variance]]=0,"On Budget","Over Budget")))</f>
        <v>Over Budget</v>
      </c>
      <c r="AA50" s="26">
        <f>IF(OR(ISBLANK(Table1[[#This Row],[Actual_Cost_ZAR]]),ISBLANK(Table1[[#This Row],[Budget_ZAR]])),0,Table1[[#This Row],[Actual_Cost_ZAR]]-Table1[[#This Row],[Budget_ZAR]])</f>
        <v>524796.71</v>
      </c>
      <c r="AB50" s="9">
        <f>IF(OR(Table1[[#This Row],[Cost_Variance]]="",Table1[[#This Row],[Budget_ZAR]]=""),0,Table1[[#This Row],[Cost_Variance]]/Table1[[#This Row],[Budget_ZAR]])</f>
        <v>0.26714746350928825</v>
      </c>
      <c r="AC50" t="str">
        <f>IF(Table1[[#This Row],[Last_Updated]] = "","Missing Date",IF(Table1[[#This Row],[Last_Updated]]=_xlfn.MAXIFS(Table1[Last_Updated],Table1[Project_ID],Table1[[#This Row],[Project_ID]]),"Latest","Older"))</f>
        <v>Older</v>
      </c>
      <c r="AD50">
        <f>COUNTIFS(Table1[Project_ID],Table1[[#This Row],[Project_ID]],Table1[Last_Updated],"&gt;0")</f>
        <v>4</v>
      </c>
      <c r="AE50">
        <f>COUNTIFS(Table1[Project_ID],Table1[[#This Row],[Project_ID]],Table1[Latest_Record_Flag],"Latest")</f>
        <v>1</v>
      </c>
      <c r="AF50" t="str">
        <f>IF(Table1[[#This Row],[Latest_Count]]&gt;1,"Potential Duplicate -Review","Unique")</f>
        <v>Unique</v>
      </c>
      <c r="AG50" t="str">
        <f>IF(Table1[[#This Row],[Latest_Record_Flag]]&lt;&gt;"Latest","",IF(Table1[[#This Row],[Latest_Count]]&gt;1,"Review - Tied Latest Date", "OK"))</f>
        <v/>
      </c>
    </row>
    <row r="51" spans="1:33" x14ac:dyDescent="0.25">
      <c r="A51" s="2" t="s">
        <v>167</v>
      </c>
      <c r="B51" s="2" t="s">
        <v>106</v>
      </c>
      <c r="C51" s="2" t="s">
        <v>168</v>
      </c>
      <c r="D51" s="2" t="s">
        <v>19</v>
      </c>
      <c r="E51" s="2" t="s">
        <v>68</v>
      </c>
      <c r="F51" s="2" t="s">
        <v>59</v>
      </c>
      <c r="G51" s="2" t="s">
        <v>22</v>
      </c>
      <c r="H51" s="2" t="s">
        <v>32</v>
      </c>
      <c r="I51" s="5">
        <v>45832</v>
      </c>
      <c r="J51" s="2">
        <v>67</v>
      </c>
      <c r="K51" s="2">
        <v>55</v>
      </c>
      <c r="L51" s="14">
        <v>1827989.94</v>
      </c>
      <c r="M51" s="14" t="str">
        <f>IF(Table1[[#This Row],[Budget_ZAR]]="", "Missing", "Present")</f>
        <v>Present</v>
      </c>
      <c r="N51" s="14">
        <v>2213442.61</v>
      </c>
      <c r="O51" s="14" t="str">
        <f>IF(Table1[[#This Row],[Actual_Cost_ZAR]]="","Missing","Present")</f>
        <v>Present</v>
      </c>
      <c r="P51"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51" s="2">
        <v>10</v>
      </c>
      <c r="R51" s="2" t="s">
        <v>24</v>
      </c>
      <c r="S51" s="2" t="str" cm="1">
        <f t="array" ref="S51">IF(Table1[[#This Row],[Progress_Percent]]="unknown","Unknown",_xlfn.IFS(Table1[[#This Row],[Progress_Percent]]&lt;=10,"Planning",Table1[[#This Row],[Progress_Percent]]&lt;100, "In Progress",Table1[[#This Row],[Progress_Percent]]=100,"Completed"))</f>
        <v>Planning</v>
      </c>
      <c r="T51" s="2" t="str">
        <f>IF(Table1[[#This Row],[Progress_Percent]]="unknown","Unknown",IF(Table1[[#This Row],[Project_Status]]="On Hold","Review",IF(Table1[[#This Row],[Project_Status]]=Table1[[#This Row],[Project_Expected_Status]],"OK","Mismatch")))</f>
        <v>OK</v>
      </c>
      <c r="U51" s="5">
        <v>45977</v>
      </c>
      <c r="V51">
        <f>Table1[[#This Row],[Actual_Duration_Days]]-Table1[[#This Row],[Planned_Duration_Days]]</f>
        <v>-12</v>
      </c>
      <c r="W51" t="str" cm="1">
        <f t="array" ref="W51">_xlfn.IFS(Table1[[#This Row],[Schedule_Variance]]&gt;0,"Behind Schedule",Table1[[#This Row],[Schedule_Variance]]&lt;0,"Ahead of Schedule",Table1[[#This Row],[Schedule_Variance]]=0,"On Schedule")</f>
        <v>Ahead of Schedule</v>
      </c>
      <c r="X51" s="26">
        <f>IF(OR(ISBLANK(Table1[[#This Row],[Actual_Cost_ZAR]])),"",Table1[[#This Row],[Actual_Cost_ZAR]]-Table1[[#This Row],[Budget_ZAR]])</f>
        <v>385452.66999999993</v>
      </c>
      <c r="Y51" s="9">
        <f>IF(OR(Table1[[#This Row],[Cost_Variance]]="",Table1[[#This Row],[Budget_ZAR]]=""),"",Table1[[#This Row],[Cost_Variance]]/Table1[[#This Row],[Budget_ZAR]])</f>
        <v>0.21086148318737463</v>
      </c>
      <c r="Z51" t="str">
        <f>IF(OR(Table1[[#This Row],[Budget_ZAR]]="",Table1[[#This Row],[Actual_Cost_ZAR]]=""),"Missing Data",IF(Table1[[#This Row],[Cost_Variance]]&lt;0,"Under Budget",IF(Table1[[#This Row],[Cost_Variance]]=0,"On Budget","Over Budget")))</f>
        <v>Over Budget</v>
      </c>
      <c r="AA51" s="26">
        <f>IF(OR(ISBLANK(Table1[[#This Row],[Actual_Cost_ZAR]]),ISBLANK(Table1[[#This Row],[Budget_ZAR]])),0,Table1[[#This Row],[Actual_Cost_ZAR]]-Table1[[#This Row],[Budget_ZAR]])</f>
        <v>385452.66999999993</v>
      </c>
      <c r="AB51" s="9">
        <f>IF(OR(Table1[[#This Row],[Cost_Variance]]="",Table1[[#This Row],[Budget_ZAR]]=""),0,Table1[[#This Row],[Cost_Variance]]/Table1[[#This Row],[Budget_ZAR]])</f>
        <v>0.21086148318737463</v>
      </c>
      <c r="AC51" t="str">
        <f>IF(Table1[[#This Row],[Last_Updated]] = "","Missing Date",IF(Table1[[#This Row],[Last_Updated]]=_xlfn.MAXIFS(Table1[Last_Updated],Table1[Project_ID],Table1[[#This Row],[Project_ID]]),"Latest","Older"))</f>
        <v>Older</v>
      </c>
      <c r="AD51">
        <f>COUNTIFS(Table1[Project_ID],Table1[[#This Row],[Project_ID]],Table1[Last_Updated],"&gt;0")</f>
        <v>6</v>
      </c>
      <c r="AE51">
        <f>COUNTIFS(Table1[Project_ID],Table1[[#This Row],[Project_ID]],Table1[Latest_Record_Flag],"Latest")</f>
        <v>1</v>
      </c>
      <c r="AF51" t="str">
        <f>IF(Table1[[#This Row],[Latest_Count]]&gt;1,"Potential Duplicate -Review","Unique")</f>
        <v>Unique</v>
      </c>
      <c r="AG51" t="str">
        <f>IF(Table1[[#This Row],[Latest_Record_Flag]]&lt;&gt;"Latest","",IF(Table1[[#This Row],[Latest_Count]]&gt;1,"Review - Tied Latest Date", "OK"))</f>
        <v/>
      </c>
    </row>
    <row r="52" spans="1:33" x14ac:dyDescent="0.25">
      <c r="A52" s="2" t="s">
        <v>170</v>
      </c>
      <c r="B52" s="2" t="s">
        <v>110</v>
      </c>
      <c r="C52" s="2" t="s">
        <v>171</v>
      </c>
      <c r="D52" s="2" t="s">
        <v>117</v>
      </c>
      <c r="E52" s="2" t="s">
        <v>68</v>
      </c>
      <c r="F52" s="2" t="s">
        <v>44</v>
      </c>
      <c r="G52" s="2" t="s">
        <v>31</v>
      </c>
      <c r="H52" s="2" t="s">
        <v>23</v>
      </c>
      <c r="I52" s="5">
        <v>45701</v>
      </c>
      <c r="J52" s="2">
        <v>83</v>
      </c>
      <c r="K52" s="2">
        <v>75</v>
      </c>
      <c r="L52" s="14">
        <v>3737956.47</v>
      </c>
      <c r="M52" s="14" t="str">
        <f>IF(Table1[[#This Row],[Budget_ZAR]]="", "Missing", "Present")</f>
        <v>Present</v>
      </c>
      <c r="N52" s="14">
        <v>3693426.23</v>
      </c>
      <c r="O52" s="14" t="str">
        <f>IF(Table1[[#This Row],[Actual_Cost_ZAR]]="","Missing","Present")</f>
        <v>Present</v>
      </c>
      <c r="P52"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52" s="2">
        <v>40</v>
      </c>
      <c r="R52" s="2" t="s">
        <v>33</v>
      </c>
      <c r="S52" s="2" t="str" cm="1">
        <f t="array" ref="S52">IF(Table1[[#This Row],[Progress_Percent]]="unknown","Unknown",_xlfn.IFS(Table1[[#This Row],[Progress_Percent]]&lt;=10,"Planning",Table1[[#This Row],[Progress_Percent]]&lt;100, "In Progress",Table1[[#This Row],[Progress_Percent]]=100,"Completed"))</f>
        <v>In Progress</v>
      </c>
      <c r="T52" s="2" t="str">
        <f>IF(Table1[[#This Row],[Progress_Percent]]="unknown","Unknown",IF(Table1[[#This Row],[Project_Status]]="On Hold","Review",IF(Table1[[#This Row],[Project_Status]]=Table1[[#This Row],[Project_Expected_Status]],"OK","Mismatch")))</f>
        <v>Review</v>
      </c>
      <c r="U52" s="5">
        <v>45860</v>
      </c>
      <c r="V52">
        <f>Table1[[#This Row],[Actual_Duration_Days]]-Table1[[#This Row],[Planned_Duration_Days]]</f>
        <v>-8</v>
      </c>
      <c r="W52" t="str" cm="1">
        <f t="array" ref="W52">_xlfn.IFS(Table1[[#This Row],[Schedule_Variance]]&gt;0,"Behind Schedule",Table1[[#This Row],[Schedule_Variance]]&lt;0,"Ahead of Schedule",Table1[[#This Row],[Schedule_Variance]]=0,"On Schedule")</f>
        <v>Ahead of Schedule</v>
      </c>
      <c r="X52" s="26">
        <f>IF(OR(ISBLANK(Table1[[#This Row],[Actual_Cost_ZAR]])),"",Table1[[#This Row],[Actual_Cost_ZAR]]-Table1[[#This Row],[Budget_ZAR]])</f>
        <v>-44530.240000000224</v>
      </c>
      <c r="Y52" s="9">
        <f>IF(OR(Table1[[#This Row],[Cost_Variance]]="",Table1[[#This Row],[Budget_ZAR]]=""),"",Table1[[#This Row],[Cost_Variance]]/Table1[[#This Row],[Budget_ZAR]])</f>
        <v>-1.1912990522332172E-2</v>
      </c>
      <c r="Z52" t="str">
        <f>IF(OR(Table1[[#This Row],[Budget_ZAR]]="",Table1[[#This Row],[Actual_Cost_ZAR]]=""),"Missing Data",IF(Table1[[#This Row],[Cost_Variance]]&lt;0,"Under Budget",IF(Table1[[#This Row],[Cost_Variance]]=0,"On Budget","Over Budget")))</f>
        <v>Under Budget</v>
      </c>
      <c r="AA52" s="26">
        <f>IF(OR(ISBLANK(Table1[[#This Row],[Actual_Cost_ZAR]]),ISBLANK(Table1[[#This Row],[Budget_ZAR]])),0,Table1[[#This Row],[Actual_Cost_ZAR]]-Table1[[#This Row],[Budget_ZAR]])</f>
        <v>-44530.240000000224</v>
      </c>
      <c r="AB52" s="9">
        <f>IF(OR(Table1[[#This Row],[Cost_Variance]]="",Table1[[#This Row],[Budget_ZAR]]=""),0,Table1[[#This Row],[Cost_Variance]]/Table1[[#This Row],[Budget_ZAR]])</f>
        <v>-1.1912990522332172E-2</v>
      </c>
      <c r="AC52" t="str">
        <f>IF(Table1[[#This Row],[Last_Updated]] = "","Missing Date",IF(Table1[[#This Row],[Last_Updated]]=_xlfn.MAXIFS(Table1[Last_Updated],Table1[Project_ID],Table1[[#This Row],[Project_ID]]),"Latest","Older"))</f>
        <v>Older</v>
      </c>
      <c r="AD52">
        <f>COUNTIFS(Table1[Project_ID],Table1[[#This Row],[Project_ID]],Table1[Last_Updated],"&gt;0")</f>
        <v>4</v>
      </c>
      <c r="AE52">
        <f>COUNTIFS(Table1[Project_ID],Table1[[#This Row],[Project_ID]],Table1[Latest_Record_Flag],"Latest")</f>
        <v>1</v>
      </c>
      <c r="AF52" t="str">
        <f>IF(Table1[[#This Row],[Latest_Count]]&gt;1,"Potential Duplicate -Review","Unique")</f>
        <v>Unique</v>
      </c>
      <c r="AG52" t="str">
        <f>IF(Table1[[#This Row],[Latest_Record_Flag]]&lt;&gt;"Latest","",IF(Table1[[#This Row],[Latest_Count]]&gt;1,"Review - Tied Latest Date", "OK"))</f>
        <v/>
      </c>
    </row>
    <row r="53" spans="1:33" x14ac:dyDescent="0.25">
      <c r="A53" s="2" t="s">
        <v>172</v>
      </c>
      <c r="B53" s="2" t="s">
        <v>51</v>
      </c>
      <c r="C53" s="2" t="s">
        <v>173</v>
      </c>
      <c r="D53" s="2" t="s">
        <v>28</v>
      </c>
      <c r="E53" s="2" t="s">
        <v>68</v>
      </c>
      <c r="F53" s="2" t="s">
        <v>59</v>
      </c>
      <c r="G53" s="2" t="s">
        <v>22</v>
      </c>
      <c r="H53" s="2" t="s">
        <v>61</v>
      </c>
      <c r="I53" s="5">
        <v>45970</v>
      </c>
      <c r="J53" s="2">
        <v>45</v>
      </c>
      <c r="K53" s="2">
        <v>90</v>
      </c>
      <c r="L53" s="14">
        <v>5017106.9000000004</v>
      </c>
      <c r="M53" s="14" t="str">
        <f>IF(Table1[[#This Row],[Budget_ZAR]]="", "Missing", "Present")</f>
        <v>Present</v>
      </c>
      <c r="N53" s="14">
        <v>5482481.2699999996</v>
      </c>
      <c r="O53" s="14" t="str">
        <f>IF(Table1[[#This Row],[Actual_Cost_ZAR]]="","Missing","Present")</f>
        <v>Present</v>
      </c>
      <c r="P53"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53" s="2">
        <v>55</v>
      </c>
      <c r="R53" s="2" t="s">
        <v>24</v>
      </c>
      <c r="S53" s="2" t="str" cm="1">
        <f t="array" ref="S53">IF(Table1[[#This Row],[Progress_Percent]]="unknown","Unknown",_xlfn.IFS(Table1[[#This Row],[Progress_Percent]]&lt;=10,"Planning",Table1[[#This Row],[Progress_Percent]]&lt;100, "In Progress",Table1[[#This Row],[Progress_Percent]]=100,"Completed"))</f>
        <v>In Progress</v>
      </c>
      <c r="T53" s="2" t="str">
        <f>IF(Table1[[#This Row],[Progress_Percent]]="unknown","Unknown",IF(Table1[[#This Row],[Project_Status]]="On Hold","Review",IF(Table1[[#This Row],[Project_Status]]=Table1[[#This Row],[Project_Expected_Status]],"OK","Mismatch")))</f>
        <v>Mismatch</v>
      </c>
      <c r="U53" s="5">
        <v>46075</v>
      </c>
      <c r="V53">
        <f>Table1[[#This Row],[Actual_Duration_Days]]-Table1[[#This Row],[Planned_Duration_Days]]</f>
        <v>45</v>
      </c>
      <c r="W53" t="str" cm="1">
        <f t="array" ref="W53">_xlfn.IFS(Table1[[#This Row],[Schedule_Variance]]&gt;0,"Behind Schedule",Table1[[#This Row],[Schedule_Variance]]&lt;0,"Ahead of Schedule",Table1[[#This Row],[Schedule_Variance]]=0,"On Schedule")</f>
        <v>Behind Schedule</v>
      </c>
      <c r="X53" s="26">
        <f>IF(OR(ISBLANK(Table1[[#This Row],[Actual_Cost_ZAR]])),"",Table1[[#This Row],[Actual_Cost_ZAR]]-Table1[[#This Row],[Budget_ZAR]])</f>
        <v>465374.36999999918</v>
      </c>
      <c r="Y53" s="9">
        <f>IF(OR(Table1[[#This Row],[Cost_Variance]]="",Table1[[#This Row],[Budget_ZAR]]=""),"",Table1[[#This Row],[Cost_Variance]]/Table1[[#This Row],[Budget_ZAR]])</f>
        <v>9.2757515292328965E-2</v>
      </c>
      <c r="Z53" t="str">
        <f>IF(OR(Table1[[#This Row],[Budget_ZAR]]="",Table1[[#This Row],[Actual_Cost_ZAR]]=""),"Missing Data",IF(Table1[[#This Row],[Cost_Variance]]&lt;0,"Under Budget",IF(Table1[[#This Row],[Cost_Variance]]=0,"On Budget","Over Budget")))</f>
        <v>Over Budget</v>
      </c>
      <c r="AA53" s="26">
        <f>IF(OR(ISBLANK(Table1[[#This Row],[Actual_Cost_ZAR]]),ISBLANK(Table1[[#This Row],[Budget_ZAR]])),0,Table1[[#This Row],[Actual_Cost_ZAR]]-Table1[[#This Row],[Budget_ZAR]])</f>
        <v>465374.36999999918</v>
      </c>
      <c r="AB53" s="9">
        <f>IF(OR(Table1[[#This Row],[Cost_Variance]]="",Table1[[#This Row],[Budget_ZAR]]=""),0,Table1[[#This Row],[Cost_Variance]]/Table1[[#This Row],[Budget_ZAR]])</f>
        <v>9.2757515292328965E-2</v>
      </c>
      <c r="AC53" t="str">
        <f>IF(Table1[[#This Row],[Last_Updated]] = "","Missing Date",IF(Table1[[#This Row],[Last_Updated]]=_xlfn.MAXIFS(Table1[Last_Updated],Table1[Project_ID],Table1[[#This Row],[Project_ID]]),"Latest","Older"))</f>
        <v>Latest</v>
      </c>
      <c r="AD53">
        <f>COUNTIFS(Table1[Project_ID],Table1[[#This Row],[Project_ID]],Table1[Last_Updated],"&gt;0")</f>
        <v>4</v>
      </c>
      <c r="AE53">
        <f>COUNTIFS(Table1[Project_ID],Table1[[#This Row],[Project_ID]],Table1[Latest_Record_Flag],"Latest")</f>
        <v>1</v>
      </c>
      <c r="AF53" t="str">
        <f>IF(Table1[[#This Row],[Latest_Count]]&gt;1,"Potential Duplicate -Review","Unique")</f>
        <v>Unique</v>
      </c>
      <c r="AG53" t="str">
        <f>IF(Table1[[#This Row],[Latest_Record_Flag]]&lt;&gt;"Latest","",IF(Table1[[#This Row],[Latest_Count]]&gt;1,"Review - Tied Latest Date", "OK"))</f>
        <v>OK</v>
      </c>
    </row>
    <row r="54" spans="1:33" x14ac:dyDescent="0.25">
      <c r="A54" s="2" t="s">
        <v>174</v>
      </c>
      <c r="B54" s="2" t="s">
        <v>106</v>
      </c>
      <c r="C54" s="2" t="s">
        <v>99</v>
      </c>
      <c r="D54" s="2" t="s">
        <v>117</v>
      </c>
      <c r="E54" s="2" t="s">
        <v>68</v>
      </c>
      <c r="F54" s="2" t="s">
        <v>21</v>
      </c>
      <c r="G54" s="2" t="s">
        <v>76</v>
      </c>
      <c r="H54" s="2" t="s">
        <v>61</v>
      </c>
      <c r="I54" s="5">
        <v>45962</v>
      </c>
      <c r="J54" s="2">
        <v>140</v>
      </c>
      <c r="K54" s="2">
        <v>143</v>
      </c>
      <c r="L54" s="14">
        <v>453999.1</v>
      </c>
      <c r="M54" s="14" t="str">
        <f>IF(Table1[[#This Row],[Budget_ZAR]]="", "Missing", "Present")</f>
        <v>Present</v>
      </c>
      <c r="N54" s="14">
        <v>419518.98</v>
      </c>
      <c r="O54" s="14" t="str">
        <f>IF(Table1[[#This Row],[Actual_Cost_ZAR]]="","Missing","Present")</f>
        <v>Present</v>
      </c>
      <c r="P54"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54" s="2">
        <v>55</v>
      </c>
      <c r="R54" s="2" t="s">
        <v>33</v>
      </c>
      <c r="S54" s="2" t="str" cm="1">
        <f t="array" ref="S54">IF(Table1[[#This Row],[Progress_Percent]]="unknown","Unknown",_xlfn.IFS(Table1[[#This Row],[Progress_Percent]]&lt;=10,"Planning",Table1[[#This Row],[Progress_Percent]]&lt;100, "In Progress",Table1[[#This Row],[Progress_Percent]]=100,"Completed"))</f>
        <v>In Progress</v>
      </c>
      <c r="T54" s="2" t="str">
        <f>IF(Table1[[#This Row],[Progress_Percent]]="unknown","Unknown",IF(Table1[[#This Row],[Project_Status]]="On Hold","Review",IF(Table1[[#This Row],[Project_Status]]=Table1[[#This Row],[Project_Expected_Status]],"OK","Mismatch")))</f>
        <v>Review</v>
      </c>
      <c r="U54" s="5">
        <v>46102</v>
      </c>
      <c r="V54">
        <f>Table1[[#This Row],[Actual_Duration_Days]]-Table1[[#This Row],[Planned_Duration_Days]]</f>
        <v>3</v>
      </c>
      <c r="W54" t="str" cm="1">
        <f t="array" ref="W54">_xlfn.IFS(Table1[[#This Row],[Schedule_Variance]]&gt;0,"Behind Schedule",Table1[[#This Row],[Schedule_Variance]]&lt;0,"Ahead of Schedule",Table1[[#This Row],[Schedule_Variance]]=0,"On Schedule")</f>
        <v>Behind Schedule</v>
      </c>
      <c r="X54" s="26">
        <f>IF(OR(ISBLANK(Table1[[#This Row],[Actual_Cost_ZAR]])),"",Table1[[#This Row],[Actual_Cost_ZAR]]-Table1[[#This Row],[Budget_ZAR]])</f>
        <v>-34480.119999999995</v>
      </c>
      <c r="Y54" s="9">
        <f>IF(OR(Table1[[#This Row],[Cost_Variance]]="",Table1[[#This Row],[Budget_ZAR]]=""),"",Table1[[#This Row],[Cost_Variance]]/Table1[[#This Row],[Budget_ZAR]])</f>
        <v>-7.5947551437877292E-2</v>
      </c>
      <c r="Z54" t="str">
        <f>IF(OR(Table1[[#This Row],[Budget_ZAR]]="",Table1[[#This Row],[Actual_Cost_ZAR]]=""),"Missing Data",IF(Table1[[#This Row],[Cost_Variance]]&lt;0,"Under Budget",IF(Table1[[#This Row],[Cost_Variance]]=0,"On Budget","Over Budget")))</f>
        <v>Under Budget</v>
      </c>
      <c r="AA54" s="26">
        <f>IF(OR(ISBLANK(Table1[[#This Row],[Actual_Cost_ZAR]]),ISBLANK(Table1[[#This Row],[Budget_ZAR]])),0,Table1[[#This Row],[Actual_Cost_ZAR]]-Table1[[#This Row],[Budget_ZAR]])</f>
        <v>-34480.119999999995</v>
      </c>
      <c r="AB54" s="9">
        <f>IF(OR(Table1[[#This Row],[Cost_Variance]]="",Table1[[#This Row],[Budget_ZAR]]=""),0,Table1[[#This Row],[Cost_Variance]]/Table1[[#This Row],[Budget_ZAR]])</f>
        <v>-7.5947551437877292E-2</v>
      </c>
      <c r="AC54" t="str">
        <f>IF(Table1[[#This Row],[Last_Updated]] = "","Missing Date",IF(Table1[[#This Row],[Last_Updated]]=_xlfn.MAXIFS(Table1[Last_Updated],Table1[Project_ID],Table1[[#This Row],[Project_ID]]),"Latest","Older"))</f>
        <v>Older</v>
      </c>
      <c r="AD54">
        <f>COUNTIFS(Table1[Project_ID],Table1[[#This Row],[Project_ID]],Table1[Last_Updated],"&gt;0")</f>
        <v>6</v>
      </c>
      <c r="AE54">
        <f>COUNTIFS(Table1[Project_ID],Table1[[#This Row],[Project_ID]],Table1[Latest_Record_Flag],"Latest")</f>
        <v>1</v>
      </c>
      <c r="AF54" t="str">
        <f>IF(Table1[[#This Row],[Latest_Count]]&gt;1,"Potential Duplicate -Review","Unique")</f>
        <v>Unique</v>
      </c>
      <c r="AG54" t="str">
        <f>IF(Table1[[#This Row],[Latest_Record_Flag]]&lt;&gt;"Latest","",IF(Table1[[#This Row],[Latest_Count]]&gt;1,"Review - Tied Latest Date", "OK"))</f>
        <v/>
      </c>
    </row>
    <row r="55" spans="1:33" x14ac:dyDescent="0.25">
      <c r="A55" s="2" t="s">
        <v>175</v>
      </c>
      <c r="B55" s="2" t="s">
        <v>120</v>
      </c>
      <c r="C55" s="2" t="s">
        <v>36</v>
      </c>
      <c r="D55" s="2" t="s">
        <v>37</v>
      </c>
      <c r="E55" s="2" t="s">
        <v>43</v>
      </c>
      <c r="F55" s="2" t="s">
        <v>44</v>
      </c>
      <c r="G55" s="2" t="s">
        <v>31</v>
      </c>
      <c r="H55" s="2" t="s">
        <v>23</v>
      </c>
      <c r="I55" s="5">
        <v>45734</v>
      </c>
      <c r="J55" s="2">
        <v>88</v>
      </c>
      <c r="K55" s="2">
        <v>125</v>
      </c>
      <c r="L55" s="14">
        <v>1138976.78</v>
      </c>
      <c r="M55" s="14" t="str">
        <f>IF(Table1[[#This Row],[Budget_ZAR]]="", "Missing", "Present")</f>
        <v>Present</v>
      </c>
      <c r="N55" s="14">
        <v>922365.06</v>
      </c>
      <c r="O55" s="14" t="str">
        <f>IF(Table1[[#This Row],[Actual_Cost_ZAR]]="","Missing","Present")</f>
        <v>Present</v>
      </c>
      <c r="P55"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55" s="2"/>
      <c r="R55" s="2" t="s">
        <v>54</v>
      </c>
      <c r="S55" s="2" t="str" cm="1">
        <f t="array" ref="S55">IF(Table1[[#This Row],[Progress_Percent]]="unknown","Unknown",_xlfn.IFS(Table1[[#This Row],[Progress_Percent]]&lt;=10,"Planning",Table1[[#This Row],[Progress_Percent]]&lt;100, "In Progress",Table1[[#This Row],[Progress_Percent]]=100,"Completed"))</f>
        <v>Planning</v>
      </c>
      <c r="T55" s="2" t="str">
        <f>IF(Table1[[#This Row],[Progress_Percent]]="unknown","Unknown",IF(Table1[[#This Row],[Project_Status]]="On Hold","Review",IF(Table1[[#This Row],[Project_Status]]=Table1[[#This Row],[Project_Expected_Status]],"OK","Mismatch")))</f>
        <v>Mismatch</v>
      </c>
      <c r="U55" s="5">
        <v>45873</v>
      </c>
      <c r="V55">
        <f>Table1[[#This Row],[Actual_Duration_Days]]-Table1[[#This Row],[Planned_Duration_Days]]</f>
        <v>37</v>
      </c>
      <c r="W55" t="str" cm="1">
        <f t="array" ref="W55">_xlfn.IFS(Table1[[#This Row],[Schedule_Variance]]&gt;0,"Behind Schedule",Table1[[#This Row],[Schedule_Variance]]&lt;0,"Ahead of Schedule",Table1[[#This Row],[Schedule_Variance]]=0,"On Schedule")</f>
        <v>Behind Schedule</v>
      </c>
      <c r="X55" s="26">
        <f>IF(OR(ISBLANK(Table1[[#This Row],[Actual_Cost_ZAR]])),"",Table1[[#This Row],[Actual_Cost_ZAR]]-Table1[[#This Row],[Budget_ZAR]])</f>
        <v>-216611.71999999997</v>
      </c>
      <c r="Y55" s="9">
        <f>IF(OR(Table1[[#This Row],[Cost_Variance]]="",Table1[[#This Row],[Budget_ZAR]]=""),"",Table1[[#This Row],[Cost_Variance]]/Table1[[#This Row],[Budget_ZAR]])</f>
        <v>-0.19018097980891233</v>
      </c>
      <c r="Z55" t="str">
        <f>IF(OR(Table1[[#This Row],[Budget_ZAR]]="",Table1[[#This Row],[Actual_Cost_ZAR]]=""),"Missing Data",IF(Table1[[#This Row],[Cost_Variance]]&lt;0,"Under Budget",IF(Table1[[#This Row],[Cost_Variance]]=0,"On Budget","Over Budget")))</f>
        <v>Under Budget</v>
      </c>
      <c r="AA55" s="26">
        <f>IF(OR(ISBLANK(Table1[[#This Row],[Actual_Cost_ZAR]]),ISBLANK(Table1[[#This Row],[Budget_ZAR]])),0,Table1[[#This Row],[Actual_Cost_ZAR]]-Table1[[#This Row],[Budget_ZAR]])</f>
        <v>-216611.71999999997</v>
      </c>
      <c r="AB55" s="9">
        <f>IF(OR(Table1[[#This Row],[Cost_Variance]]="",Table1[[#This Row],[Budget_ZAR]]=""),0,Table1[[#This Row],[Cost_Variance]]/Table1[[#This Row],[Budget_ZAR]])</f>
        <v>-0.19018097980891233</v>
      </c>
      <c r="AC55" t="str">
        <f>IF(Table1[[#This Row],[Last_Updated]] = "","Missing Date",IF(Table1[[#This Row],[Last_Updated]]=_xlfn.MAXIFS(Table1[Last_Updated],Table1[Project_ID],Table1[[#This Row],[Project_ID]]),"Latest","Older"))</f>
        <v>Older</v>
      </c>
      <c r="AD55">
        <f>COUNTIFS(Table1[Project_ID],Table1[[#This Row],[Project_ID]],Table1[Last_Updated],"&gt;0")</f>
        <v>3</v>
      </c>
      <c r="AE55">
        <f>COUNTIFS(Table1[Project_ID],Table1[[#This Row],[Project_ID]],Table1[Latest_Record_Flag],"Latest")</f>
        <v>1</v>
      </c>
      <c r="AF55" t="str">
        <f>IF(Table1[[#This Row],[Latest_Count]]&gt;1,"Potential Duplicate -Review","Unique")</f>
        <v>Unique</v>
      </c>
      <c r="AG55" t="str">
        <f>IF(Table1[[#This Row],[Latest_Record_Flag]]&lt;&gt;"Latest","",IF(Table1[[#This Row],[Latest_Count]]&gt;1,"Review - Tied Latest Date", "OK"))</f>
        <v/>
      </c>
    </row>
    <row r="56" spans="1:33" x14ac:dyDescent="0.25">
      <c r="A56" s="2" t="s">
        <v>176</v>
      </c>
      <c r="B56" s="2" t="s">
        <v>92</v>
      </c>
      <c r="C56" s="2" t="s">
        <v>64</v>
      </c>
      <c r="D56" s="2" t="s">
        <v>28</v>
      </c>
      <c r="E56" s="2" t="s">
        <v>68</v>
      </c>
      <c r="F56" s="2" t="s">
        <v>48</v>
      </c>
      <c r="G56" s="2" t="s">
        <v>60</v>
      </c>
      <c r="H56" s="2" t="s">
        <v>38</v>
      </c>
      <c r="I56" s="5">
        <v>45882</v>
      </c>
      <c r="J56" s="2">
        <v>40</v>
      </c>
      <c r="K56" s="2">
        <v>63</v>
      </c>
      <c r="L56" s="14">
        <v>499129.9</v>
      </c>
      <c r="M56" s="14" t="str">
        <f>IF(Table1[[#This Row],[Budget_ZAR]]="", "Missing", "Present")</f>
        <v>Present</v>
      </c>
      <c r="N56" s="14"/>
      <c r="O56" s="14" t="str">
        <f>IF(Table1[[#This Row],[Actual_Cost_ZAR]]="","Missing","Present")</f>
        <v>Missing</v>
      </c>
      <c r="P56"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Actual Cost Missing</v>
      </c>
      <c r="Q56" s="2">
        <v>70</v>
      </c>
      <c r="R56" s="2" t="s">
        <v>54</v>
      </c>
      <c r="S56" s="2" t="str" cm="1">
        <f t="array" ref="S56">IF(Table1[[#This Row],[Progress_Percent]]="unknown","Unknown",_xlfn.IFS(Table1[[#This Row],[Progress_Percent]]&lt;=10,"Planning",Table1[[#This Row],[Progress_Percent]]&lt;100, "In Progress",Table1[[#This Row],[Progress_Percent]]=100,"Completed"))</f>
        <v>In Progress</v>
      </c>
      <c r="T56" s="2" t="str">
        <f>IF(Table1[[#This Row],[Progress_Percent]]="unknown","Unknown",IF(Table1[[#This Row],[Project_Status]]="On Hold","Review",IF(Table1[[#This Row],[Project_Status]]=Table1[[#This Row],[Project_Expected_Status]],"OK","Mismatch")))</f>
        <v>Mismatch</v>
      </c>
      <c r="U56" s="5">
        <v>45951</v>
      </c>
      <c r="V56">
        <f>Table1[[#This Row],[Actual_Duration_Days]]-Table1[[#This Row],[Planned_Duration_Days]]</f>
        <v>23</v>
      </c>
      <c r="W56" t="str" cm="1">
        <f t="array" ref="W56">_xlfn.IFS(Table1[[#This Row],[Schedule_Variance]]&gt;0,"Behind Schedule",Table1[[#This Row],[Schedule_Variance]]&lt;0,"Ahead of Schedule",Table1[[#This Row],[Schedule_Variance]]=0,"On Schedule")</f>
        <v>Behind Schedule</v>
      </c>
      <c r="X56" s="26" t="str">
        <f>IF(OR(ISBLANK(Table1[[#This Row],[Actual_Cost_ZAR]])),"",Table1[[#This Row],[Actual_Cost_ZAR]]-Table1[[#This Row],[Budget_ZAR]])</f>
        <v/>
      </c>
      <c r="Y56" s="9" t="str">
        <f>IF(OR(Table1[[#This Row],[Cost_Variance]]="",Table1[[#This Row],[Budget_ZAR]]=""),"",Table1[[#This Row],[Cost_Variance]]/Table1[[#This Row],[Budget_ZAR]])</f>
        <v/>
      </c>
      <c r="Z56" t="str">
        <f>IF(OR(Table1[[#This Row],[Budget_ZAR]]="",Table1[[#This Row],[Actual_Cost_ZAR]]=""),"Missing Data",IF(Table1[[#This Row],[Cost_Variance]]&lt;0,"Under Budget",IF(Table1[[#This Row],[Cost_Variance]]=0,"On Budget","Over Budget")))</f>
        <v>Missing Data</v>
      </c>
      <c r="AA56" s="26">
        <f>IF(OR(ISBLANK(Table1[[#This Row],[Actual_Cost_ZAR]]),ISBLANK(Table1[[#This Row],[Budget_ZAR]])),0,Table1[[#This Row],[Actual_Cost_ZAR]]-Table1[[#This Row],[Budget_ZAR]])</f>
        <v>0</v>
      </c>
      <c r="AB56" s="9">
        <f>IF(OR(Table1[[#This Row],[Cost_Variance]]="",Table1[[#This Row],[Budget_ZAR]]=""),0,Table1[[#This Row],[Cost_Variance]]/Table1[[#This Row],[Budget_ZAR]])</f>
        <v>0</v>
      </c>
      <c r="AC56" t="str">
        <f>IF(Table1[[#This Row],[Last_Updated]] = "","Missing Date",IF(Table1[[#This Row],[Last_Updated]]=_xlfn.MAXIFS(Table1[Last_Updated],Table1[Project_ID],Table1[[#This Row],[Project_ID]]),"Latest","Older"))</f>
        <v>Older</v>
      </c>
      <c r="AD56">
        <f>COUNTIFS(Table1[Project_ID],Table1[[#This Row],[Project_ID]],Table1[Last_Updated],"&gt;0")</f>
        <v>8</v>
      </c>
      <c r="AE56">
        <f>COUNTIFS(Table1[Project_ID],Table1[[#This Row],[Project_ID]],Table1[Latest_Record_Flag],"Latest")</f>
        <v>1</v>
      </c>
      <c r="AF56" t="str">
        <f>IF(Table1[[#This Row],[Latest_Count]]&gt;1,"Potential Duplicate -Review","Unique")</f>
        <v>Unique</v>
      </c>
      <c r="AG56" t="str">
        <f>IF(Table1[[#This Row],[Latest_Record_Flag]]&lt;&gt;"Latest","",IF(Table1[[#This Row],[Latest_Count]]&gt;1,"Review - Tied Latest Date", "OK"))</f>
        <v/>
      </c>
    </row>
    <row r="57" spans="1:33" x14ac:dyDescent="0.25">
      <c r="A57" s="2" t="s">
        <v>177</v>
      </c>
      <c r="B57" s="2" t="s">
        <v>101</v>
      </c>
      <c r="C57" s="2" t="s">
        <v>168</v>
      </c>
      <c r="D57" s="2" t="s">
        <v>19</v>
      </c>
      <c r="E57" s="2" t="s">
        <v>94</v>
      </c>
      <c r="F57" s="2" t="s">
        <v>30</v>
      </c>
      <c r="G57" s="2" t="s">
        <v>76</v>
      </c>
      <c r="H57" s="2" t="s">
        <v>65</v>
      </c>
      <c r="I57" s="5">
        <v>45678</v>
      </c>
      <c r="J57" s="2">
        <v>64</v>
      </c>
      <c r="K57" s="2">
        <v>79</v>
      </c>
      <c r="L57" s="14">
        <v>3493524.01</v>
      </c>
      <c r="M57" s="14" t="str">
        <f>IF(Table1[[#This Row],[Budget_ZAR]]="", "Missing", "Present")</f>
        <v>Present</v>
      </c>
      <c r="N57" s="14">
        <v>3497418.25</v>
      </c>
      <c r="O57" s="14" t="str">
        <f>IF(Table1[[#This Row],[Actual_Cost_ZAR]]="","Missing","Present")</f>
        <v>Present</v>
      </c>
      <c r="P57"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57" s="2">
        <v>55</v>
      </c>
      <c r="R57" s="2" t="s">
        <v>49</v>
      </c>
      <c r="S57" s="2" t="str" cm="1">
        <f t="array" ref="S57">IF(Table1[[#This Row],[Progress_Percent]]="unknown","Unknown",_xlfn.IFS(Table1[[#This Row],[Progress_Percent]]&lt;=10,"Planning",Table1[[#This Row],[Progress_Percent]]&lt;100, "In Progress",Table1[[#This Row],[Progress_Percent]]=100,"Completed"))</f>
        <v>In Progress</v>
      </c>
      <c r="T57" s="2" t="str">
        <f>IF(Table1[[#This Row],[Progress_Percent]]="unknown","Unknown",IF(Table1[[#This Row],[Project_Status]]="On Hold","Review",IF(Table1[[#This Row],[Project_Status]]=Table1[[#This Row],[Project_Expected_Status]],"OK","Mismatch")))</f>
        <v>OK</v>
      </c>
      <c r="U57" s="5">
        <v>45761</v>
      </c>
      <c r="V57">
        <f>Table1[[#This Row],[Actual_Duration_Days]]-Table1[[#This Row],[Planned_Duration_Days]]</f>
        <v>15</v>
      </c>
      <c r="W57" t="str" cm="1">
        <f t="array" ref="W57">_xlfn.IFS(Table1[[#This Row],[Schedule_Variance]]&gt;0,"Behind Schedule",Table1[[#This Row],[Schedule_Variance]]&lt;0,"Ahead of Schedule",Table1[[#This Row],[Schedule_Variance]]=0,"On Schedule")</f>
        <v>Behind Schedule</v>
      </c>
      <c r="X57" s="26">
        <f>IF(OR(ISBLANK(Table1[[#This Row],[Actual_Cost_ZAR]])),"",Table1[[#This Row],[Actual_Cost_ZAR]]-Table1[[#This Row],[Budget_ZAR]])</f>
        <v>3894.2400000002235</v>
      </c>
      <c r="Y57" s="9">
        <f>IF(OR(Table1[[#This Row],[Cost_Variance]]="",Table1[[#This Row],[Budget_ZAR]]=""),"",Table1[[#This Row],[Cost_Variance]]/Table1[[#This Row],[Budget_ZAR]])</f>
        <v>1.1147025149542979E-3</v>
      </c>
      <c r="Z57" t="str">
        <f>IF(OR(Table1[[#This Row],[Budget_ZAR]]="",Table1[[#This Row],[Actual_Cost_ZAR]]=""),"Missing Data",IF(Table1[[#This Row],[Cost_Variance]]&lt;0,"Under Budget",IF(Table1[[#This Row],[Cost_Variance]]=0,"On Budget","Over Budget")))</f>
        <v>Over Budget</v>
      </c>
      <c r="AA57" s="26">
        <f>IF(OR(ISBLANK(Table1[[#This Row],[Actual_Cost_ZAR]]),ISBLANK(Table1[[#This Row],[Budget_ZAR]])),0,Table1[[#This Row],[Actual_Cost_ZAR]]-Table1[[#This Row],[Budget_ZAR]])</f>
        <v>3894.2400000002235</v>
      </c>
      <c r="AB57" s="9">
        <f>IF(OR(Table1[[#This Row],[Cost_Variance]]="",Table1[[#This Row],[Budget_ZAR]]=""),0,Table1[[#This Row],[Cost_Variance]]/Table1[[#This Row],[Budget_ZAR]])</f>
        <v>1.1147025149542979E-3</v>
      </c>
      <c r="AC57" t="str">
        <f>IF(Table1[[#This Row],[Last_Updated]] = "","Missing Date",IF(Table1[[#This Row],[Last_Updated]]=_xlfn.MAXIFS(Table1[Last_Updated],Table1[Project_ID],Table1[[#This Row],[Project_ID]]),"Latest","Older"))</f>
        <v>Older</v>
      </c>
      <c r="AD57">
        <f>COUNTIFS(Table1[Project_ID],Table1[[#This Row],[Project_ID]],Table1[Last_Updated],"&gt;0")</f>
        <v>3</v>
      </c>
      <c r="AE57">
        <f>COUNTIFS(Table1[Project_ID],Table1[[#This Row],[Project_ID]],Table1[Latest_Record_Flag],"Latest")</f>
        <v>1</v>
      </c>
      <c r="AF57" t="str">
        <f>IF(Table1[[#This Row],[Latest_Count]]&gt;1,"Potential Duplicate -Review","Unique")</f>
        <v>Unique</v>
      </c>
      <c r="AG57" t="str">
        <f>IF(Table1[[#This Row],[Latest_Record_Flag]]&lt;&gt;"Latest","",IF(Table1[[#This Row],[Latest_Count]]&gt;1,"Review - Tied Latest Date", "OK"))</f>
        <v/>
      </c>
    </row>
    <row r="58" spans="1:33" x14ac:dyDescent="0.25">
      <c r="A58" s="2" t="s">
        <v>178</v>
      </c>
      <c r="B58" s="2" t="s">
        <v>17</v>
      </c>
      <c r="C58" s="2" t="s">
        <v>36</v>
      </c>
      <c r="D58" s="2" t="s">
        <v>19</v>
      </c>
      <c r="E58" s="2" t="s">
        <v>43</v>
      </c>
      <c r="F58" s="2" t="s">
        <v>30</v>
      </c>
      <c r="G58" s="2" t="s">
        <v>60</v>
      </c>
      <c r="H58" s="2" t="s">
        <v>108</v>
      </c>
      <c r="I58" s="5">
        <v>45740</v>
      </c>
      <c r="J58" s="2">
        <v>104</v>
      </c>
      <c r="K58" s="2">
        <v>115</v>
      </c>
      <c r="L58" s="14">
        <v>4585460.46</v>
      </c>
      <c r="M58" s="14" t="str">
        <f>IF(Table1[[#This Row],[Budget_ZAR]]="", "Missing", "Present")</f>
        <v>Present</v>
      </c>
      <c r="N58" s="14">
        <v>4237464.8099999996</v>
      </c>
      <c r="O58" s="14" t="str">
        <f>IF(Table1[[#This Row],[Actual_Cost_ZAR]]="","Missing","Present")</f>
        <v>Present</v>
      </c>
      <c r="P58"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58" s="2">
        <v>85</v>
      </c>
      <c r="R58" s="2" t="s">
        <v>24</v>
      </c>
      <c r="S58" s="2" t="str" cm="1">
        <f t="array" ref="S58">IF(Table1[[#This Row],[Progress_Percent]]="unknown","Unknown",_xlfn.IFS(Table1[[#This Row],[Progress_Percent]]&lt;=10,"Planning",Table1[[#This Row],[Progress_Percent]]&lt;100, "In Progress",Table1[[#This Row],[Progress_Percent]]=100,"Completed"))</f>
        <v>In Progress</v>
      </c>
      <c r="T58" s="2" t="str">
        <f>IF(Table1[[#This Row],[Progress_Percent]]="unknown","Unknown",IF(Table1[[#This Row],[Project_Status]]="On Hold","Review",IF(Table1[[#This Row],[Project_Status]]=Table1[[#This Row],[Project_Expected_Status]],"OK","Mismatch")))</f>
        <v>Mismatch</v>
      </c>
      <c r="U58" s="5">
        <v>45872</v>
      </c>
      <c r="V58">
        <f>Table1[[#This Row],[Actual_Duration_Days]]-Table1[[#This Row],[Planned_Duration_Days]]</f>
        <v>11</v>
      </c>
      <c r="W58" t="str" cm="1">
        <f t="array" ref="W58">_xlfn.IFS(Table1[[#This Row],[Schedule_Variance]]&gt;0,"Behind Schedule",Table1[[#This Row],[Schedule_Variance]]&lt;0,"Ahead of Schedule",Table1[[#This Row],[Schedule_Variance]]=0,"On Schedule")</f>
        <v>Behind Schedule</v>
      </c>
      <c r="X58" s="26">
        <f>IF(OR(ISBLANK(Table1[[#This Row],[Actual_Cost_ZAR]])),"",Table1[[#This Row],[Actual_Cost_ZAR]]-Table1[[#This Row],[Budget_ZAR]])</f>
        <v>-347995.65000000037</v>
      </c>
      <c r="Y58" s="9">
        <f>IF(OR(Table1[[#This Row],[Cost_Variance]]="",Table1[[#This Row],[Budget_ZAR]]=""),"",Table1[[#This Row],[Cost_Variance]]/Table1[[#This Row],[Budget_ZAR]])</f>
        <v>-7.5891102548074393E-2</v>
      </c>
      <c r="Z58" t="str">
        <f>IF(OR(Table1[[#This Row],[Budget_ZAR]]="",Table1[[#This Row],[Actual_Cost_ZAR]]=""),"Missing Data",IF(Table1[[#This Row],[Cost_Variance]]&lt;0,"Under Budget",IF(Table1[[#This Row],[Cost_Variance]]=0,"On Budget","Over Budget")))</f>
        <v>Under Budget</v>
      </c>
      <c r="AA58" s="26">
        <f>IF(OR(ISBLANK(Table1[[#This Row],[Actual_Cost_ZAR]]),ISBLANK(Table1[[#This Row],[Budget_ZAR]])),0,Table1[[#This Row],[Actual_Cost_ZAR]]-Table1[[#This Row],[Budget_ZAR]])</f>
        <v>-347995.65000000037</v>
      </c>
      <c r="AB58" s="9">
        <f>IF(OR(Table1[[#This Row],[Cost_Variance]]="",Table1[[#This Row],[Budget_ZAR]]=""),0,Table1[[#This Row],[Cost_Variance]]/Table1[[#This Row],[Budget_ZAR]])</f>
        <v>-7.5891102548074393E-2</v>
      </c>
      <c r="AC58" t="str">
        <f>IF(Table1[[#This Row],[Last_Updated]] = "","Missing Date",IF(Table1[[#This Row],[Last_Updated]]=_xlfn.MAXIFS(Table1[Last_Updated],Table1[Project_ID],Table1[[#This Row],[Project_ID]]),"Latest","Older"))</f>
        <v>Older</v>
      </c>
      <c r="AD58">
        <f>COUNTIFS(Table1[Project_ID],Table1[[#This Row],[Project_ID]],Table1[Last_Updated],"&gt;0")</f>
        <v>3</v>
      </c>
      <c r="AE58">
        <f>COUNTIFS(Table1[Project_ID],Table1[[#This Row],[Project_ID]],Table1[Latest_Record_Flag],"Latest")</f>
        <v>1</v>
      </c>
      <c r="AF58" t="str">
        <f>IF(Table1[[#This Row],[Latest_Count]]&gt;1,"Potential Duplicate -Review","Unique")</f>
        <v>Unique</v>
      </c>
      <c r="AG58" t="str">
        <f>IF(Table1[[#This Row],[Latest_Record_Flag]]&lt;&gt;"Latest","",IF(Table1[[#This Row],[Latest_Count]]&gt;1,"Review - Tied Latest Date", "OK"))</f>
        <v/>
      </c>
    </row>
    <row r="59" spans="1:33" x14ac:dyDescent="0.25">
      <c r="A59" s="2" t="s">
        <v>180</v>
      </c>
      <c r="B59" s="2" t="s">
        <v>26</v>
      </c>
      <c r="C59" s="2" t="s">
        <v>140</v>
      </c>
      <c r="D59" s="2" t="s">
        <v>117</v>
      </c>
      <c r="E59" s="2" t="s">
        <v>68</v>
      </c>
      <c r="F59" s="2" t="s">
        <v>21</v>
      </c>
      <c r="G59" s="2" t="s">
        <v>31</v>
      </c>
      <c r="H59" s="2" t="s">
        <v>108</v>
      </c>
      <c r="I59" s="5">
        <v>45935</v>
      </c>
      <c r="J59" s="2">
        <v>138</v>
      </c>
      <c r="K59" s="2">
        <v>149</v>
      </c>
      <c r="L59" s="14">
        <v>588775.53</v>
      </c>
      <c r="M59" s="14" t="str">
        <f>IF(Table1[[#This Row],[Budget_ZAR]]="", "Missing", "Present")</f>
        <v>Present</v>
      </c>
      <c r="N59" s="14">
        <v>611867.13</v>
      </c>
      <c r="O59" s="14" t="str">
        <f>IF(Table1[[#This Row],[Actual_Cost_ZAR]]="","Missing","Present")</f>
        <v>Present</v>
      </c>
      <c r="P59"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59" s="2">
        <v>100</v>
      </c>
      <c r="R59" s="2" t="s">
        <v>33</v>
      </c>
      <c r="S59" s="2" t="str" cm="1">
        <f t="array" ref="S59">IF(Table1[[#This Row],[Progress_Percent]]="unknown","Unknown",_xlfn.IFS(Table1[[#This Row],[Progress_Percent]]&lt;=10,"Planning",Table1[[#This Row],[Progress_Percent]]&lt;100, "In Progress",Table1[[#This Row],[Progress_Percent]]=100,"Completed"))</f>
        <v>Completed</v>
      </c>
      <c r="T59" s="2" t="str">
        <f>IF(Table1[[#This Row],[Progress_Percent]]="unknown","Unknown",IF(Table1[[#This Row],[Project_Status]]="On Hold","Review",IF(Table1[[#This Row],[Project_Status]]=Table1[[#This Row],[Project_Expected_Status]],"OK","Mismatch")))</f>
        <v>Review</v>
      </c>
      <c r="U59" s="5">
        <v>46114</v>
      </c>
      <c r="V59">
        <f>Table1[[#This Row],[Actual_Duration_Days]]-Table1[[#This Row],[Planned_Duration_Days]]</f>
        <v>11</v>
      </c>
      <c r="W59" t="str" cm="1">
        <f t="array" ref="W59">_xlfn.IFS(Table1[[#This Row],[Schedule_Variance]]&gt;0,"Behind Schedule",Table1[[#This Row],[Schedule_Variance]]&lt;0,"Ahead of Schedule",Table1[[#This Row],[Schedule_Variance]]=0,"On Schedule")</f>
        <v>Behind Schedule</v>
      </c>
      <c r="X59" s="26">
        <f>IF(OR(ISBLANK(Table1[[#This Row],[Actual_Cost_ZAR]])),"",Table1[[#This Row],[Actual_Cost_ZAR]]-Table1[[#This Row],[Budget_ZAR]])</f>
        <v>23091.599999999977</v>
      </c>
      <c r="Y59" s="9">
        <f>IF(OR(Table1[[#This Row],[Cost_Variance]]="",Table1[[#This Row],[Budget_ZAR]]=""),"",Table1[[#This Row],[Cost_Variance]]/Table1[[#This Row],[Budget_ZAR]])</f>
        <v>3.9219700587760462E-2</v>
      </c>
      <c r="Z59" t="str">
        <f>IF(OR(Table1[[#This Row],[Budget_ZAR]]="",Table1[[#This Row],[Actual_Cost_ZAR]]=""),"Missing Data",IF(Table1[[#This Row],[Cost_Variance]]&lt;0,"Under Budget",IF(Table1[[#This Row],[Cost_Variance]]=0,"On Budget","Over Budget")))</f>
        <v>Over Budget</v>
      </c>
      <c r="AA59" s="26">
        <f>IF(OR(ISBLANK(Table1[[#This Row],[Actual_Cost_ZAR]]),ISBLANK(Table1[[#This Row],[Budget_ZAR]])),0,Table1[[#This Row],[Actual_Cost_ZAR]]-Table1[[#This Row],[Budget_ZAR]])</f>
        <v>23091.599999999977</v>
      </c>
      <c r="AB59" s="9">
        <f>IF(OR(Table1[[#This Row],[Cost_Variance]]="",Table1[[#This Row],[Budget_ZAR]]=""),0,Table1[[#This Row],[Cost_Variance]]/Table1[[#This Row],[Budget_ZAR]])</f>
        <v>3.9219700587760462E-2</v>
      </c>
      <c r="AC59" t="str">
        <f>IF(Table1[[#This Row],[Last_Updated]] = "","Missing Date",IF(Table1[[#This Row],[Last_Updated]]=_xlfn.MAXIFS(Table1[Last_Updated],Table1[Project_ID],Table1[[#This Row],[Project_ID]]),"Latest","Older"))</f>
        <v>Latest</v>
      </c>
      <c r="AD59">
        <f>COUNTIFS(Table1[Project_ID],Table1[[#This Row],[Project_ID]],Table1[Last_Updated],"&gt;0")</f>
        <v>4</v>
      </c>
      <c r="AE59">
        <f>COUNTIFS(Table1[Project_ID],Table1[[#This Row],[Project_ID]],Table1[Latest_Record_Flag],"Latest")</f>
        <v>1</v>
      </c>
      <c r="AF59" t="str">
        <f>IF(Table1[[#This Row],[Latest_Count]]&gt;1,"Potential Duplicate -Review","Unique")</f>
        <v>Unique</v>
      </c>
      <c r="AG59" t="str">
        <f>IF(Table1[[#This Row],[Latest_Record_Flag]]&lt;&gt;"Latest","",IF(Table1[[#This Row],[Latest_Count]]&gt;1,"Review - Tied Latest Date", "OK"))</f>
        <v>OK</v>
      </c>
    </row>
    <row r="60" spans="1:33" x14ac:dyDescent="0.25">
      <c r="A60" s="2" t="s">
        <v>182</v>
      </c>
      <c r="B60" s="2" t="s">
        <v>92</v>
      </c>
      <c r="C60" s="2" t="s">
        <v>183</v>
      </c>
      <c r="D60" s="2" t="s">
        <v>19</v>
      </c>
      <c r="E60" s="2" t="s">
        <v>85</v>
      </c>
      <c r="F60" s="2" t="s">
        <v>59</v>
      </c>
      <c r="G60" s="2" t="s">
        <v>76</v>
      </c>
      <c r="H60" s="2" t="s">
        <v>61</v>
      </c>
      <c r="I60" s="5">
        <v>45720</v>
      </c>
      <c r="J60" s="2">
        <v>27</v>
      </c>
      <c r="K60" s="2">
        <v>52</v>
      </c>
      <c r="L60" s="14">
        <v>4055447.92</v>
      </c>
      <c r="M60" s="14" t="str">
        <f>IF(Table1[[#This Row],[Budget_ZAR]]="", "Missing", "Present")</f>
        <v>Present</v>
      </c>
      <c r="N60" s="14">
        <v>3648478.58</v>
      </c>
      <c r="O60" s="14" t="str">
        <f>IF(Table1[[#This Row],[Actual_Cost_ZAR]]="","Missing","Present")</f>
        <v>Present</v>
      </c>
      <c r="P60"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60" s="2">
        <v>25</v>
      </c>
      <c r="R60" s="2" t="s">
        <v>54</v>
      </c>
      <c r="S60" s="2" t="str" cm="1">
        <f t="array" ref="S60">IF(Table1[[#This Row],[Progress_Percent]]="unknown","Unknown",_xlfn.IFS(Table1[[#This Row],[Progress_Percent]]&lt;=10,"Planning",Table1[[#This Row],[Progress_Percent]]&lt;100, "In Progress",Table1[[#This Row],[Progress_Percent]]=100,"Completed"))</f>
        <v>In Progress</v>
      </c>
      <c r="T60" s="2" t="str">
        <f>IF(Table1[[#This Row],[Progress_Percent]]="unknown","Unknown",IF(Table1[[#This Row],[Project_Status]]="On Hold","Review",IF(Table1[[#This Row],[Project_Status]]=Table1[[#This Row],[Project_Expected_Status]],"OK","Mismatch")))</f>
        <v>Mismatch</v>
      </c>
      <c r="U60" s="5">
        <v>45886</v>
      </c>
      <c r="V60">
        <f>Table1[[#This Row],[Actual_Duration_Days]]-Table1[[#This Row],[Planned_Duration_Days]]</f>
        <v>25</v>
      </c>
      <c r="W60" t="str" cm="1">
        <f t="array" ref="W60">_xlfn.IFS(Table1[[#This Row],[Schedule_Variance]]&gt;0,"Behind Schedule",Table1[[#This Row],[Schedule_Variance]]&lt;0,"Ahead of Schedule",Table1[[#This Row],[Schedule_Variance]]=0,"On Schedule")</f>
        <v>Behind Schedule</v>
      </c>
      <c r="X60" s="26">
        <f>IF(OR(ISBLANK(Table1[[#This Row],[Actual_Cost_ZAR]])),"",Table1[[#This Row],[Actual_Cost_ZAR]]-Table1[[#This Row],[Budget_ZAR]])</f>
        <v>-406969.33999999985</v>
      </c>
      <c r="Y60" s="9">
        <f>IF(OR(Table1[[#This Row],[Cost_Variance]]="",Table1[[#This Row],[Budget_ZAR]]=""),"",Table1[[#This Row],[Cost_Variance]]/Table1[[#This Row],[Budget_ZAR]])</f>
        <v>-0.10035126773370076</v>
      </c>
      <c r="Z60" t="str">
        <f>IF(OR(Table1[[#This Row],[Budget_ZAR]]="",Table1[[#This Row],[Actual_Cost_ZAR]]=""),"Missing Data",IF(Table1[[#This Row],[Cost_Variance]]&lt;0,"Under Budget",IF(Table1[[#This Row],[Cost_Variance]]=0,"On Budget","Over Budget")))</f>
        <v>Under Budget</v>
      </c>
      <c r="AA60" s="26">
        <f>IF(OR(ISBLANK(Table1[[#This Row],[Actual_Cost_ZAR]]),ISBLANK(Table1[[#This Row],[Budget_ZAR]])),0,Table1[[#This Row],[Actual_Cost_ZAR]]-Table1[[#This Row],[Budget_ZAR]])</f>
        <v>-406969.33999999985</v>
      </c>
      <c r="AB60" s="9">
        <f>IF(OR(Table1[[#This Row],[Cost_Variance]]="",Table1[[#This Row],[Budget_ZAR]]=""),0,Table1[[#This Row],[Cost_Variance]]/Table1[[#This Row],[Budget_ZAR]])</f>
        <v>-0.10035126773370076</v>
      </c>
      <c r="AC60" t="str">
        <f>IF(Table1[[#This Row],[Last_Updated]] = "","Missing Date",IF(Table1[[#This Row],[Last_Updated]]=_xlfn.MAXIFS(Table1[Last_Updated],Table1[Project_ID],Table1[[#This Row],[Project_ID]]),"Latest","Older"))</f>
        <v>Older</v>
      </c>
      <c r="AD60">
        <f>COUNTIFS(Table1[Project_ID],Table1[[#This Row],[Project_ID]],Table1[Last_Updated],"&gt;0")</f>
        <v>8</v>
      </c>
      <c r="AE60">
        <f>COUNTIFS(Table1[Project_ID],Table1[[#This Row],[Project_ID]],Table1[Latest_Record_Flag],"Latest")</f>
        <v>1</v>
      </c>
      <c r="AF60" t="str">
        <f>IF(Table1[[#This Row],[Latest_Count]]&gt;1,"Potential Duplicate -Review","Unique")</f>
        <v>Unique</v>
      </c>
      <c r="AG60" t="str">
        <f>IF(Table1[[#This Row],[Latest_Record_Flag]]&lt;&gt;"Latest","",IF(Table1[[#This Row],[Latest_Count]]&gt;1,"Review - Tied Latest Date", "OK"))</f>
        <v/>
      </c>
    </row>
    <row r="61" spans="1:33" x14ac:dyDescent="0.25">
      <c r="A61" s="2" t="s">
        <v>184</v>
      </c>
      <c r="B61" s="2" t="s">
        <v>88</v>
      </c>
      <c r="C61" s="2" t="s">
        <v>52</v>
      </c>
      <c r="D61" s="2" t="s">
        <v>117</v>
      </c>
      <c r="E61" s="2" t="s">
        <v>85</v>
      </c>
      <c r="F61" s="2" t="s">
        <v>44</v>
      </c>
      <c r="G61" s="2" t="s">
        <v>22</v>
      </c>
      <c r="H61" s="2" t="s">
        <v>23</v>
      </c>
      <c r="I61" s="5">
        <v>45913</v>
      </c>
      <c r="J61" s="2">
        <v>94</v>
      </c>
      <c r="K61" s="2">
        <v>111</v>
      </c>
      <c r="L61" s="14">
        <v>4658822.6900000004</v>
      </c>
      <c r="M61" s="14" t="str">
        <f>IF(Table1[[#This Row],[Budget_ZAR]]="", "Missing", "Present")</f>
        <v>Present</v>
      </c>
      <c r="N61" s="14">
        <v>4601729.62</v>
      </c>
      <c r="O61" s="14" t="str">
        <f>IF(Table1[[#This Row],[Actual_Cost_ZAR]]="","Missing","Present")</f>
        <v>Present</v>
      </c>
      <c r="P61"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61" s="2">
        <v>100</v>
      </c>
      <c r="R61" s="2" t="s">
        <v>33</v>
      </c>
      <c r="S61" s="2" t="str" cm="1">
        <f t="array" ref="S61">IF(Table1[[#This Row],[Progress_Percent]]="unknown","Unknown",_xlfn.IFS(Table1[[#This Row],[Progress_Percent]]&lt;=10,"Planning",Table1[[#This Row],[Progress_Percent]]&lt;100, "In Progress",Table1[[#This Row],[Progress_Percent]]=100,"Completed"))</f>
        <v>Completed</v>
      </c>
      <c r="T61" s="2" t="str">
        <f>IF(Table1[[#This Row],[Progress_Percent]]="unknown","Unknown",IF(Table1[[#This Row],[Project_Status]]="On Hold","Review",IF(Table1[[#This Row],[Project_Status]]=Table1[[#This Row],[Project_Expected_Status]],"OK","Mismatch")))</f>
        <v>Review</v>
      </c>
      <c r="U61" s="5">
        <v>46044</v>
      </c>
      <c r="V61">
        <f>Table1[[#This Row],[Actual_Duration_Days]]-Table1[[#This Row],[Planned_Duration_Days]]</f>
        <v>17</v>
      </c>
      <c r="W61" t="str" cm="1">
        <f t="array" ref="W61">_xlfn.IFS(Table1[[#This Row],[Schedule_Variance]]&gt;0,"Behind Schedule",Table1[[#This Row],[Schedule_Variance]]&lt;0,"Ahead of Schedule",Table1[[#This Row],[Schedule_Variance]]=0,"On Schedule")</f>
        <v>Behind Schedule</v>
      </c>
      <c r="X61" s="26">
        <f>IF(OR(ISBLANK(Table1[[#This Row],[Actual_Cost_ZAR]])),"",Table1[[#This Row],[Actual_Cost_ZAR]]-Table1[[#This Row],[Budget_ZAR]])</f>
        <v>-57093.070000000298</v>
      </c>
      <c r="Y61" s="9">
        <f>IF(OR(Table1[[#This Row],[Cost_Variance]]="",Table1[[#This Row],[Budget_ZAR]]=""),"",Table1[[#This Row],[Cost_Variance]]/Table1[[#This Row],[Budget_ZAR]])</f>
        <v>-1.2254827839348463E-2</v>
      </c>
      <c r="Z61" t="str">
        <f>IF(OR(Table1[[#This Row],[Budget_ZAR]]="",Table1[[#This Row],[Actual_Cost_ZAR]]=""),"Missing Data",IF(Table1[[#This Row],[Cost_Variance]]&lt;0,"Under Budget",IF(Table1[[#This Row],[Cost_Variance]]=0,"On Budget","Over Budget")))</f>
        <v>Under Budget</v>
      </c>
      <c r="AA61" s="26">
        <f>IF(OR(ISBLANK(Table1[[#This Row],[Actual_Cost_ZAR]]),ISBLANK(Table1[[#This Row],[Budget_ZAR]])),0,Table1[[#This Row],[Actual_Cost_ZAR]]-Table1[[#This Row],[Budget_ZAR]])</f>
        <v>-57093.070000000298</v>
      </c>
      <c r="AB61" s="9">
        <f>IF(OR(Table1[[#This Row],[Cost_Variance]]="",Table1[[#This Row],[Budget_ZAR]]=""),0,Table1[[#This Row],[Cost_Variance]]/Table1[[#This Row],[Budget_ZAR]])</f>
        <v>-1.2254827839348463E-2</v>
      </c>
      <c r="AC61" t="str">
        <f>IF(Table1[[#This Row],[Last_Updated]] = "","Missing Date",IF(Table1[[#This Row],[Last_Updated]]=_xlfn.MAXIFS(Table1[Last_Updated],Table1[Project_ID],Table1[[#This Row],[Project_ID]]),"Latest","Older"))</f>
        <v>Latest</v>
      </c>
      <c r="AD61">
        <f>COUNTIFS(Table1[Project_ID],Table1[[#This Row],[Project_ID]],Table1[Last_Updated],"&gt;0")</f>
        <v>7</v>
      </c>
      <c r="AE61">
        <f>COUNTIFS(Table1[Project_ID],Table1[[#This Row],[Project_ID]],Table1[Latest_Record_Flag],"Latest")</f>
        <v>1</v>
      </c>
      <c r="AF61" t="str">
        <f>IF(Table1[[#This Row],[Latest_Count]]&gt;1,"Potential Duplicate -Review","Unique")</f>
        <v>Unique</v>
      </c>
      <c r="AG61" t="str">
        <f>IF(Table1[[#This Row],[Latest_Record_Flag]]&lt;&gt;"Latest","",IF(Table1[[#This Row],[Latest_Count]]&gt;1,"Review - Tied Latest Date", "OK"))</f>
        <v>OK</v>
      </c>
    </row>
    <row r="62" spans="1:33" x14ac:dyDescent="0.25">
      <c r="A62" s="2" t="s">
        <v>185</v>
      </c>
      <c r="B62" s="2" t="s">
        <v>88</v>
      </c>
      <c r="C62" s="2" t="s">
        <v>186</v>
      </c>
      <c r="D62" s="2" t="s">
        <v>19</v>
      </c>
      <c r="E62" s="2" t="s">
        <v>68</v>
      </c>
      <c r="F62" s="2" t="s">
        <v>48</v>
      </c>
      <c r="G62" s="2" t="s">
        <v>76</v>
      </c>
      <c r="H62" s="2" t="s">
        <v>32</v>
      </c>
      <c r="I62" s="5">
        <v>45693</v>
      </c>
      <c r="J62" s="2">
        <v>90</v>
      </c>
      <c r="K62" s="2">
        <v>124</v>
      </c>
      <c r="L62" s="14">
        <v>5187538.6399999997</v>
      </c>
      <c r="M62" s="14" t="str">
        <f>IF(Table1[[#This Row],[Budget_ZAR]]="", "Missing", "Present")</f>
        <v>Present</v>
      </c>
      <c r="N62" s="14">
        <v>5122545.07</v>
      </c>
      <c r="O62" s="14" t="str">
        <f>IF(Table1[[#This Row],[Actual_Cost_ZAR]]="","Missing","Present")</f>
        <v>Present</v>
      </c>
      <c r="P62"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62" s="2"/>
      <c r="R62" s="2" t="s">
        <v>54</v>
      </c>
      <c r="S62" s="2" t="str" cm="1">
        <f t="array" ref="S62">IF(Table1[[#This Row],[Progress_Percent]]="unknown","Unknown",_xlfn.IFS(Table1[[#This Row],[Progress_Percent]]&lt;=10,"Planning",Table1[[#This Row],[Progress_Percent]]&lt;100, "In Progress",Table1[[#This Row],[Progress_Percent]]=100,"Completed"))</f>
        <v>Planning</v>
      </c>
      <c r="T62" s="2" t="str">
        <f>IF(Table1[[#This Row],[Progress_Percent]]="unknown","Unknown",IF(Table1[[#This Row],[Project_Status]]="On Hold","Review",IF(Table1[[#This Row],[Project_Status]]=Table1[[#This Row],[Project_Expected_Status]],"OK","Mismatch")))</f>
        <v>Mismatch</v>
      </c>
      <c r="U62" s="5">
        <v>45808</v>
      </c>
      <c r="V62">
        <f>Table1[[#This Row],[Actual_Duration_Days]]-Table1[[#This Row],[Planned_Duration_Days]]</f>
        <v>34</v>
      </c>
      <c r="W62" t="str" cm="1">
        <f t="array" ref="W62">_xlfn.IFS(Table1[[#This Row],[Schedule_Variance]]&gt;0,"Behind Schedule",Table1[[#This Row],[Schedule_Variance]]&lt;0,"Ahead of Schedule",Table1[[#This Row],[Schedule_Variance]]=0,"On Schedule")</f>
        <v>Behind Schedule</v>
      </c>
      <c r="X62" s="26">
        <f>IF(OR(ISBLANK(Table1[[#This Row],[Actual_Cost_ZAR]])),"",Table1[[#This Row],[Actual_Cost_ZAR]]-Table1[[#This Row],[Budget_ZAR]])</f>
        <v>-64993.569999999367</v>
      </c>
      <c r="Y62" s="9">
        <f>IF(OR(Table1[[#This Row],[Cost_Variance]]="",Table1[[#This Row],[Budget_ZAR]]=""),"",Table1[[#This Row],[Cost_Variance]]/Table1[[#This Row],[Budget_ZAR]])</f>
        <v>-1.2528787640991792E-2</v>
      </c>
      <c r="Z62" t="str">
        <f>IF(OR(Table1[[#This Row],[Budget_ZAR]]="",Table1[[#This Row],[Actual_Cost_ZAR]]=""),"Missing Data",IF(Table1[[#This Row],[Cost_Variance]]&lt;0,"Under Budget",IF(Table1[[#This Row],[Cost_Variance]]=0,"On Budget","Over Budget")))</f>
        <v>Under Budget</v>
      </c>
      <c r="AA62" s="26">
        <f>IF(OR(ISBLANK(Table1[[#This Row],[Actual_Cost_ZAR]]),ISBLANK(Table1[[#This Row],[Budget_ZAR]])),0,Table1[[#This Row],[Actual_Cost_ZAR]]-Table1[[#This Row],[Budget_ZAR]])</f>
        <v>-64993.569999999367</v>
      </c>
      <c r="AB62" s="9">
        <f>IF(OR(Table1[[#This Row],[Cost_Variance]]="",Table1[[#This Row],[Budget_ZAR]]=""),0,Table1[[#This Row],[Cost_Variance]]/Table1[[#This Row],[Budget_ZAR]])</f>
        <v>-1.2528787640991792E-2</v>
      </c>
      <c r="AC62" t="str">
        <f>IF(Table1[[#This Row],[Last_Updated]] = "","Missing Date",IF(Table1[[#This Row],[Last_Updated]]=_xlfn.MAXIFS(Table1[Last_Updated],Table1[Project_ID],Table1[[#This Row],[Project_ID]]),"Latest","Older"))</f>
        <v>Older</v>
      </c>
      <c r="AD62">
        <f>COUNTIFS(Table1[Project_ID],Table1[[#This Row],[Project_ID]],Table1[Last_Updated],"&gt;0")</f>
        <v>7</v>
      </c>
      <c r="AE62">
        <f>COUNTIFS(Table1[Project_ID],Table1[[#This Row],[Project_ID]],Table1[Latest_Record_Flag],"Latest")</f>
        <v>1</v>
      </c>
      <c r="AF62" t="str">
        <f>IF(Table1[[#This Row],[Latest_Count]]&gt;1,"Potential Duplicate -Review","Unique")</f>
        <v>Unique</v>
      </c>
      <c r="AG62" t="str">
        <f>IF(Table1[[#This Row],[Latest_Record_Flag]]&lt;&gt;"Latest","",IF(Table1[[#This Row],[Latest_Count]]&gt;1,"Review - Tied Latest Date", "OK"))</f>
        <v/>
      </c>
    </row>
    <row r="63" spans="1:33" x14ac:dyDescent="0.25">
      <c r="A63" s="2" t="s">
        <v>188</v>
      </c>
      <c r="B63" s="2" t="s">
        <v>56</v>
      </c>
      <c r="C63" s="2" t="s">
        <v>79</v>
      </c>
      <c r="D63" s="2" t="s">
        <v>58</v>
      </c>
      <c r="E63" s="2" t="s">
        <v>29</v>
      </c>
      <c r="F63" s="2" t="s">
        <v>21</v>
      </c>
      <c r="G63" s="2" t="s">
        <v>76</v>
      </c>
      <c r="H63" s="2" t="s">
        <v>61</v>
      </c>
      <c r="I63" s="5">
        <v>45905</v>
      </c>
      <c r="J63" s="2">
        <v>108</v>
      </c>
      <c r="K63" s="2">
        <v>114</v>
      </c>
      <c r="L63" s="14">
        <v>3699483.86</v>
      </c>
      <c r="M63" s="14" t="str">
        <f>IF(Table1[[#This Row],[Budget_ZAR]]="", "Missing", "Present")</f>
        <v>Present</v>
      </c>
      <c r="N63" s="14">
        <v>3890802.78</v>
      </c>
      <c r="O63" s="14" t="str">
        <f>IF(Table1[[#This Row],[Actual_Cost_ZAR]]="","Missing","Present")</f>
        <v>Present</v>
      </c>
      <c r="P63"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63" s="2">
        <v>100</v>
      </c>
      <c r="R63" s="2" t="s">
        <v>54</v>
      </c>
      <c r="S63" s="2" t="str" cm="1">
        <f t="array" ref="S63">IF(Table1[[#This Row],[Progress_Percent]]="unknown","Unknown",_xlfn.IFS(Table1[[#This Row],[Progress_Percent]]&lt;=10,"Planning",Table1[[#This Row],[Progress_Percent]]&lt;100, "In Progress",Table1[[#This Row],[Progress_Percent]]=100,"Completed"))</f>
        <v>Completed</v>
      </c>
      <c r="T63" s="2" t="str">
        <f>IF(Table1[[#This Row],[Progress_Percent]]="unknown","Unknown",IF(Table1[[#This Row],[Project_Status]]="On Hold","Review",IF(Table1[[#This Row],[Project_Status]]=Table1[[#This Row],[Project_Expected_Status]],"OK","Mismatch")))</f>
        <v>OK</v>
      </c>
      <c r="U63" s="5">
        <v>45987</v>
      </c>
      <c r="V63">
        <f>Table1[[#This Row],[Actual_Duration_Days]]-Table1[[#This Row],[Planned_Duration_Days]]</f>
        <v>6</v>
      </c>
      <c r="W63" t="str" cm="1">
        <f t="array" ref="W63">_xlfn.IFS(Table1[[#This Row],[Schedule_Variance]]&gt;0,"Behind Schedule",Table1[[#This Row],[Schedule_Variance]]&lt;0,"Ahead of Schedule",Table1[[#This Row],[Schedule_Variance]]=0,"On Schedule")</f>
        <v>Behind Schedule</v>
      </c>
      <c r="X63" s="26">
        <f>IF(OR(ISBLANK(Table1[[#This Row],[Actual_Cost_ZAR]])),"",Table1[[#This Row],[Actual_Cost_ZAR]]-Table1[[#This Row],[Budget_ZAR]])</f>
        <v>191318.91999999993</v>
      </c>
      <c r="Y63" s="9">
        <f>IF(OR(Table1[[#This Row],[Cost_Variance]]="",Table1[[#This Row],[Budget_ZAR]]=""),"",Table1[[#This Row],[Cost_Variance]]/Table1[[#This Row],[Budget_ZAR]])</f>
        <v>5.1715030323175926E-2</v>
      </c>
      <c r="Z63" t="str">
        <f>IF(OR(Table1[[#This Row],[Budget_ZAR]]="",Table1[[#This Row],[Actual_Cost_ZAR]]=""),"Missing Data",IF(Table1[[#This Row],[Cost_Variance]]&lt;0,"Under Budget",IF(Table1[[#This Row],[Cost_Variance]]=0,"On Budget","Over Budget")))</f>
        <v>Over Budget</v>
      </c>
      <c r="AA63" s="26">
        <f>IF(OR(ISBLANK(Table1[[#This Row],[Actual_Cost_ZAR]]),ISBLANK(Table1[[#This Row],[Budget_ZAR]])),0,Table1[[#This Row],[Actual_Cost_ZAR]]-Table1[[#This Row],[Budget_ZAR]])</f>
        <v>191318.91999999993</v>
      </c>
      <c r="AB63" s="9">
        <f>IF(OR(Table1[[#This Row],[Cost_Variance]]="",Table1[[#This Row],[Budget_ZAR]]=""),0,Table1[[#This Row],[Cost_Variance]]/Table1[[#This Row],[Budget_ZAR]])</f>
        <v>5.1715030323175926E-2</v>
      </c>
      <c r="AC63" t="str">
        <f>IF(Table1[[#This Row],[Last_Updated]] = "","Missing Date",IF(Table1[[#This Row],[Last_Updated]]=_xlfn.MAXIFS(Table1[Last_Updated],Table1[Project_ID],Table1[[#This Row],[Project_ID]]),"Latest","Older"))</f>
        <v>Older</v>
      </c>
      <c r="AD63">
        <f>COUNTIFS(Table1[Project_ID],Table1[[#This Row],[Project_ID]],Table1[Last_Updated],"&gt;0")</f>
        <v>7</v>
      </c>
      <c r="AE63">
        <f>COUNTIFS(Table1[Project_ID],Table1[[#This Row],[Project_ID]],Table1[Latest_Record_Flag],"Latest")</f>
        <v>1</v>
      </c>
      <c r="AF63" t="str">
        <f>IF(Table1[[#This Row],[Latest_Count]]&gt;1,"Potential Duplicate -Review","Unique")</f>
        <v>Unique</v>
      </c>
      <c r="AG63" t="str">
        <f>IF(Table1[[#This Row],[Latest_Record_Flag]]&lt;&gt;"Latest","",IF(Table1[[#This Row],[Latest_Count]]&gt;1,"Review - Tied Latest Date", "OK"))</f>
        <v/>
      </c>
    </row>
    <row r="64" spans="1:33" x14ac:dyDescent="0.25">
      <c r="A64" s="2" t="s">
        <v>189</v>
      </c>
      <c r="B64" s="2" t="s">
        <v>92</v>
      </c>
      <c r="C64" s="2" t="s">
        <v>190</v>
      </c>
      <c r="D64" s="2" t="s">
        <v>58</v>
      </c>
      <c r="E64" s="2" t="s">
        <v>68</v>
      </c>
      <c r="F64" s="2" t="s">
        <v>30</v>
      </c>
      <c r="G64" s="2" t="s">
        <v>60</v>
      </c>
      <c r="H64" s="2" t="s">
        <v>108</v>
      </c>
      <c r="I64" s="5">
        <v>45853</v>
      </c>
      <c r="J64" s="2">
        <v>118</v>
      </c>
      <c r="K64" s="2">
        <v>145</v>
      </c>
      <c r="L64" s="14">
        <v>5202460.38</v>
      </c>
      <c r="M64" s="14" t="str">
        <f>IF(Table1[[#This Row],[Budget_ZAR]]="", "Missing", "Present")</f>
        <v>Present</v>
      </c>
      <c r="N64" s="14">
        <v>5753970.6100000003</v>
      </c>
      <c r="O64" s="14" t="str">
        <f>IF(Table1[[#This Row],[Actual_Cost_ZAR]]="","Missing","Present")</f>
        <v>Present</v>
      </c>
      <c r="P64"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64" s="2">
        <v>25</v>
      </c>
      <c r="R64" s="2" t="s">
        <v>33</v>
      </c>
      <c r="S64" s="2" t="str" cm="1">
        <f t="array" ref="S64">IF(Table1[[#This Row],[Progress_Percent]]="unknown","Unknown",_xlfn.IFS(Table1[[#This Row],[Progress_Percent]]&lt;=10,"Planning",Table1[[#This Row],[Progress_Percent]]&lt;100, "In Progress",Table1[[#This Row],[Progress_Percent]]=100,"Completed"))</f>
        <v>In Progress</v>
      </c>
      <c r="T64" s="2" t="str">
        <f>IF(Table1[[#This Row],[Progress_Percent]]="unknown","Unknown",IF(Table1[[#This Row],[Project_Status]]="On Hold","Review",IF(Table1[[#This Row],[Project_Status]]=Table1[[#This Row],[Project_Expected_Status]],"OK","Mismatch")))</f>
        <v>Review</v>
      </c>
      <c r="U64" s="5">
        <v>45879</v>
      </c>
      <c r="V64">
        <f>Table1[[#This Row],[Actual_Duration_Days]]-Table1[[#This Row],[Planned_Duration_Days]]</f>
        <v>27</v>
      </c>
      <c r="W64" t="str" cm="1">
        <f t="array" ref="W64">_xlfn.IFS(Table1[[#This Row],[Schedule_Variance]]&gt;0,"Behind Schedule",Table1[[#This Row],[Schedule_Variance]]&lt;0,"Ahead of Schedule",Table1[[#This Row],[Schedule_Variance]]=0,"On Schedule")</f>
        <v>Behind Schedule</v>
      </c>
      <c r="X64" s="26">
        <f>IF(OR(ISBLANK(Table1[[#This Row],[Actual_Cost_ZAR]])),"",Table1[[#This Row],[Actual_Cost_ZAR]]-Table1[[#This Row],[Budget_ZAR]])</f>
        <v>551510.23000000045</v>
      </c>
      <c r="Y64" s="9">
        <f>IF(OR(Table1[[#This Row],[Cost_Variance]]="",Table1[[#This Row],[Budget_ZAR]]=""),"",Table1[[#This Row],[Cost_Variance]]/Table1[[#This Row],[Budget_ZAR]])</f>
        <v>0.10600950121988252</v>
      </c>
      <c r="Z64" t="str">
        <f>IF(OR(Table1[[#This Row],[Budget_ZAR]]="",Table1[[#This Row],[Actual_Cost_ZAR]]=""),"Missing Data",IF(Table1[[#This Row],[Cost_Variance]]&lt;0,"Under Budget",IF(Table1[[#This Row],[Cost_Variance]]=0,"On Budget","Over Budget")))</f>
        <v>Over Budget</v>
      </c>
      <c r="AA64" s="26">
        <f>IF(OR(ISBLANK(Table1[[#This Row],[Actual_Cost_ZAR]]),ISBLANK(Table1[[#This Row],[Budget_ZAR]])),0,Table1[[#This Row],[Actual_Cost_ZAR]]-Table1[[#This Row],[Budget_ZAR]])</f>
        <v>551510.23000000045</v>
      </c>
      <c r="AB64" s="9">
        <f>IF(OR(Table1[[#This Row],[Cost_Variance]]="",Table1[[#This Row],[Budget_ZAR]]=""),0,Table1[[#This Row],[Cost_Variance]]/Table1[[#This Row],[Budget_ZAR]])</f>
        <v>0.10600950121988252</v>
      </c>
      <c r="AC64" t="str">
        <f>IF(Table1[[#This Row],[Last_Updated]] = "","Missing Date",IF(Table1[[#This Row],[Last_Updated]]=_xlfn.MAXIFS(Table1[Last_Updated],Table1[Project_ID],Table1[[#This Row],[Project_ID]]),"Latest","Older"))</f>
        <v>Older</v>
      </c>
      <c r="AD64">
        <f>COUNTIFS(Table1[Project_ID],Table1[[#This Row],[Project_ID]],Table1[Last_Updated],"&gt;0")</f>
        <v>8</v>
      </c>
      <c r="AE64">
        <f>COUNTIFS(Table1[Project_ID],Table1[[#This Row],[Project_ID]],Table1[Latest_Record_Flag],"Latest")</f>
        <v>1</v>
      </c>
      <c r="AF64" t="str">
        <f>IF(Table1[[#This Row],[Latest_Count]]&gt;1,"Potential Duplicate -Review","Unique")</f>
        <v>Unique</v>
      </c>
      <c r="AG64" t="str">
        <f>IF(Table1[[#This Row],[Latest_Record_Flag]]&lt;&gt;"Latest","",IF(Table1[[#This Row],[Latest_Count]]&gt;1,"Review - Tied Latest Date", "OK"))</f>
        <v/>
      </c>
    </row>
    <row r="65" spans="1:33" x14ac:dyDescent="0.25">
      <c r="A65" s="2" t="s">
        <v>191</v>
      </c>
      <c r="B65" s="2" t="s">
        <v>126</v>
      </c>
      <c r="C65" s="2" t="s">
        <v>192</v>
      </c>
      <c r="D65" s="2" t="s">
        <v>117</v>
      </c>
      <c r="E65" s="2" t="s">
        <v>68</v>
      </c>
      <c r="F65" s="2" t="s">
        <v>44</v>
      </c>
      <c r="G65" s="2" t="s">
        <v>60</v>
      </c>
      <c r="H65" s="2" t="s">
        <v>65</v>
      </c>
      <c r="I65" s="5">
        <v>45891</v>
      </c>
      <c r="J65" s="2">
        <v>23</v>
      </c>
      <c r="K65" s="2">
        <v>54</v>
      </c>
      <c r="L65" s="14"/>
      <c r="M65" s="14" t="str">
        <f>IF(Table1[[#This Row],[Budget_ZAR]]="", "Missing", "Present")</f>
        <v>Missing</v>
      </c>
      <c r="N65" s="14">
        <v>1398967.1</v>
      </c>
      <c r="O65" s="14" t="str">
        <f>IF(Table1[[#This Row],[Actual_Cost_ZAR]]="","Missing","Present")</f>
        <v>Present</v>
      </c>
      <c r="P65"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Budget Missing</v>
      </c>
      <c r="Q65" s="2">
        <v>25</v>
      </c>
      <c r="R65" s="2" t="s">
        <v>24</v>
      </c>
      <c r="S65" s="2" t="str" cm="1">
        <f t="array" ref="S65">IF(Table1[[#This Row],[Progress_Percent]]="unknown","Unknown",_xlfn.IFS(Table1[[#This Row],[Progress_Percent]]&lt;=10,"Planning",Table1[[#This Row],[Progress_Percent]]&lt;100, "In Progress",Table1[[#This Row],[Progress_Percent]]=100,"Completed"))</f>
        <v>In Progress</v>
      </c>
      <c r="T65" s="2" t="str">
        <f>IF(Table1[[#This Row],[Progress_Percent]]="unknown","Unknown",IF(Table1[[#This Row],[Project_Status]]="On Hold","Review",IF(Table1[[#This Row],[Project_Status]]=Table1[[#This Row],[Project_Expected_Status]],"OK","Mismatch")))</f>
        <v>Mismatch</v>
      </c>
      <c r="U65" s="5">
        <v>46064</v>
      </c>
      <c r="V65">
        <f>Table1[[#This Row],[Actual_Duration_Days]]-Table1[[#This Row],[Planned_Duration_Days]]</f>
        <v>31</v>
      </c>
      <c r="W65" t="str" cm="1">
        <f t="array" ref="W65">_xlfn.IFS(Table1[[#This Row],[Schedule_Variance]]&gt;0,"Behind Schedule",Table1[[#This Row],[Schedule_Variance]]&lt;0,"Ahead of Schedule",Table1[[#This Row],[Schedule_Variance]]=0,"On Schedule")</f>
        <v>Behind Schedule</v>
      </c>
      <c r="X65" s="26">
        <f>IF(OR(ISBLANK(Table1[[#This Row],[Actual_Cost_ZAR]])),"",Table1[[#This Row],[Actual_Cost_ZAR]]-Table1[[#This Row],[Budget_ZAR]])</f>
        <v>1398967.1</v>
      </c>
      <c r="Y65" s="9" t="str">
        <f>IF(OR(Table1[[#This Row],[Cost_Variance]]="",Table1[[#This Row],[Budget_ZAR]]=""),"",Table1[[#This Row],[Cost_Variance]]/Table1[[#This Row],[Budget_ZAR]])</f>
        <v/>
      </c>
      <c r="Z65" t="str">
        <f>IF(OR(Table1[[#This Row],[Budget_ZAR]]="",Table1[[#This Row],[Actual_Cost_ZAR]]=""),"Missing Data",IF(Table1[[#This Row],[Cost_Variance]]&lt;0,"Under Budget",IF(Table1[[#This Row],[Cost_Variance]]=0,"On Budget","Over Budget")))</f>
        <v>Missing Data</v>
      </c>
      <c r="AA65" s="26">
        <f>IF(OR(ISBLANK(Table1[[#This Row],[Actual_Cost_ZAR]]),ISBLANK(Table1[[#This Row],[Budget_ZAR]])),0,Table1[[#This Row],[Actual_Cost_ZAR]]-Table1[[#This Row],[Budget_ZAR]])</f>
        <v>0</v>
      </c>
      <c r="AB65" s="9">
        <f>IF(OR(Table1[[#This Row],[Cost_Variance]]="",Table1[[#This Row],[Budget_ZAR]]=""),0,Table1[[#This Row],[Cost_Variance]]/Table1[[#This Row],[Budget_ZAR]])</f>
        <v>0</v>
      </c>
      <c r="AC65" t="str">
        <f>IF(Table1[[#This Row],[Last_Updated]] = "","Missing Date",IF(Table1[[#This Row],[Last_Updated]]=_xlfn.MAXIFS(Table1[Last_Updated],Table1[Project_ID],Table1[[#This Row],[Project_ID]]),"Latest","Older"))</f>
        <v>Older</v>
      </c>
      <c r="AD65">
        <f>COUNTIFS(Table1[Project_ID],Table1[[#This Row],[Project_ID]],Table1[Last_Updated],"&gt;0")</f>
        <v>5</v>
      </c>
      <c r="AE65">
        <f>COUNTIFS(Table1[Project_ID],Table1[[#This Row],[Project_ID]],Table1[Latest_Record_Flag],"Latest")</f>
        <v>1</v>
      </c>
      <c r="AF65" t="str">
        <f>IF(Table1[[#This Row],[Latest_Count]]&gt;1,"Potential Duplicate -Review","Unique")</f>
        <v>Unique</v>
      </c>
      <c r="AG65" t="str">
        <f>IF(Table1[[#This Row],[Latest_Record_Flag]]&lt;&gt;"Latest","",IF(Table1[[#This Row],[Latest_Count]]&gt;1,"Review - Tied Latest Date", "OK"))</f>
        <v/>
      </c>
    </row>
    <row r="66" spans="1:33" x14ac:dyDescent="0.25">
      <c r="A66" s="2" t="s">
        <v>193</v>
      </c>
      <c r="B66" s="2" t="s">
        <v>56</v>
      </c>
      <c r="C66" s="2" t="s">
        <v>99</v>
      </c>
      <c r="D66" s="2" t="s">
        <v>117</v>
      </c>
      <c r="E66" s="2" t="s">
        <v>85</v>
      </c>
      <c r="F66" s="2" t="s">
        <v>59</v>
      </c>
      <c r="G66" s="2" t="s">
        <v>76</v>
      </c>
      <c r="H66" s="2" t="s">
        <v>61</v>
      </c>
      <c r="I66" s="5">
        <v>45852</v>
      </c>
      <c r="J66" s="2">
        <v>101</v>
      </c>
      <c r="K66" s="2">
        <v>126</v>
      </c>
      <c r="L66" s="14">
        <v>4741983.91</v>
      </c>
      <c r="M66" s="14" t="str">
        <f>IF(Table1[[#This Row],[Budget_ZAR]]="", "Missing", "Present")</f>
        <v>Present</v>
      </c>
      <c r="N66" s="14">
        <v>5499283.0300000003</v>
      </c>
      <c r="O66" s="14" t="str">
        <f>IF(Table1[[#This Row],[Actual_Cost_ZAR]]="","Missing","Present")</f>
        <v>Present</v>
      </c>
      <c r="P66"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66" s="2"/>
      <c r="R66" s="2" t="s">
        <v>24</v>
      </c>
      <c r="S66" s="2" t="str" cm="1">
        <f t="array" ref="S66">IF(Table1[[#This Row],[Progress_Percent]]="unknown","Unknown",_xlfn.IFS(Table1[[#This Row],[Progress_Percent]]&lt;=10,"Planning",Table1[[#This Row],[Progress_Percent]]&lt;100, "In Progress",Table1[[#This Row],[Progress_Percent]]=100,"Completed"))</f>
        <v>Planning</v>
      </c>
      <c r="T66" s="2" t="str">
        <f>IF(Table1[[#This Row],[Progress_Percent]]="unknown","Unknown",IF(Table1[[#This Row],[Project_Status]]="On Hold","Review",IF(Table1[[#This Row],[Project_Status]]=Table1[[#This Row],[Project_Expected_Status]],"OK","Mismatch")))</f>
        <v>OK</v>
      </c>
      <c r="U66" s="5">
        <v>46015</v>
      </c>
      <c r="V66">
        <f>Table1[[#This Row],[Actual_Duration_Days]]-Table1[[#This Row],[Planned_Duration_Days]]</f>
        <v>25</v>
      </c>
      <c r="W66" t="str" cm="1">
        <f t="array" ref="W66">_xlfn.IFS(Table1[[#This Row],[Schedule_Variance]]&gt;0,"Behind Schedule",Table1[[#This Row],[Schedule_Variance]]&lt;0,"Ahead of Schedule",Table1[[#This Row],[Schedule_Variance]]=0,"On Schedule")</f>
        <v>Behind Schedule</v>
      </c>
      <c r="X66" s="26">
        <f>IF(OR(ISBLANK(Table1[[#This Row],[Actual_Cost_ZAR]])),"",Table1[[#This Row],[Actual_Cost_ZAR]]-Table1[[#This Row],[Budget_ZAR]])</f>
        <v>757299.12000000011</v>
      </c>
      <c r="Y66" s="9">
        <f>IF(OR(Table1[[#This Row],[Cost_Variance]]="",Table1[[#This Row],[Budget_ZAR]]=""),"",Table1[[#This Row],[Cost_Variance]]/Table1[[#This Row],[Budget_ZAR]])</f>
        <v>0.15970090459459194</v>
      </c>
      <c r="Z66" t="str">
        <f>IF(OR(Table1[[#This Row],[Budget_ZAR]]="",Table1[[#This Row],[Actual_Cost_ZAR]]=""),"Missing Data",IF(Table1[[#This Row],[Cost_Variance]]&lt;0,"Under Budget",IF(Table1[[#This Row],[Cost_Variance]]=0,"On Budget","Over Budget")))</f>
        <v>Over Budget</v>
      </c>
      <c r="AA66" s="26">
        <f>IF(OR(ISBLANK(Table1[[#This Row],[Actual_Cost_ZAR]]),ISBLANK(Table1[[#This Row],[Budget_ZAR]])),0,Table1[[#This Row],[Actual_Cost_ZAR]]-Table1[[#This Row],[Budget_ZAR]])</f>
        <v>757299.12000000011</v>
      </c>
      <c r="AB66" s="9">
        <f>IF(OR(Table1[[#This Row],[Cost_Variance]]="",Table1[[#This Row],[Budget_ZAR]]=""),0,Table1[[#This Row],[Cost_Variance]]/Table1[[#This Row],[Budget_ZAR]])</f>
        <v>0.15970090459459194</v>
      </c>
      <c r="AC66" t="str">
        <f>IF(Table1[[#This Row],[Last_Updated]] = "","Missing Date",IF(Table1[[#This Row],[Last_Updated]]=_xlfn.MAXIFS(Table1[Last_Updated],Table1[Project_ID],Table1[[#This Row],[Project_ID]]),"Latest","Older"))</f>
        <v>Older</v>
      </c>
      <c r="AD66">
        <f>COUNTIFS(Table1[Project_ID],Table1[[#This Row],[Project_ID]],Table1[Last_Updated],"&gt;0")</f>
        <v>7</v>
      </c>
      <c r="AE66">
        <f>COUNTIFS(Table1[Project_ID],Table1[[#This Row],[Project_ID]],Table1[Latest_Record_Flag],"Latest")</f>
        <v>1</v>
      </c>
      <c r="AF66" t="str">
        <f>IF(Table1[[#This Row],[Latest_Count]]&gt;1,"Potential Duplicate -Review","Unique")</f>
        <v>Unique</v>
      </c>
      <c r="AG66" t="str">
        <f>IF(Table1[[#This Row],[Latest_Record_Flag]]&lt;&gt;"Latest","",IF(Table1[[#This Row],[Latest_Count]]&gt;1,"Review - Tied Latest Date", "OK"))</f>
        <v/>
      </c>
    </row>
    <row r="67" spans="1:33" x14ac:dyDescent="0.25">
      <c r="A67" s="2" t="s">
        <v>194</v>
      </c>
      <c r="B67" s="2" t="s">
        <v>17</v>
      </c>
      <c r="C67" s="2" t="s">
        <v>135</v>
      </c>
      <c r="D67" s="2" t="s">
        <v>117</v>
      </c>
      <c r="E67" s="2" t="s">
        <v>43</v>
      </c>
      <c r="F67" s="2" t="s">
        <v>21</v>
      </c>
      <c r="G67" s="2" t="s">
        <v>22</v>
      </c>
      <c r="H67" s="2" t="s">
        <v>23</v>
      </c>
      <c r="I67" s="5">
        <v>45885</v>
      </c>
      <c r="J67" s="2">
        <v>62</v>
      </c>
      <c r="K67" s="2">
        <v>91</v>
      </c>
      <c r="L67" s="14"/>
      <c r="M67" s="14" t="str">
        <f>IF(Table1[[#This Row],[Budget_ZAR]]="", "Missing", "Present")</f>
        <v>Missing</v>
      </c>
      <c r="N67" s="14">
        <v>1685605.29</v>
      </c>
      <c r="O67" s="14" t="str">
        <f>IF(Table1[[#This Row],[Actual_Cost_ZAR]]="","Missing","Present")</f>
        <v>Present</v>
      </c>
      <c r="P67"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Budget Missing</v>
      </c>
      <c r="Q67" s="2">
        <v>70</v>
      </c>
      <c r="R67" s="2" t="s">
        <v>24</v>
      </c>
      <c r="S67" s="2" t="str" cm="1">
        <f t="array" ref="S67">IF(Table1[[#This Row],[Progress_Percent]]="unknown","Unknown",_xlfn.IFS(Table1[[#This Row],[Progress_Percent]]&lt;=10,"Planning",Table1[[#This Row],[Progress_Percent]]&lt;100, "In Progress",Table1[[#This Row],[Progress_Percent]]=100,"Completed"))</f>
        <v>In Progress</v>
      </c>
      <c r="T67" s="2" t="str">
        <f>IF(Table1[[#This Row],[Progress_Percent]]="unknown","Unknown",IF(Table1[[#This Row],[Project_Status]]="On Hold","Review",IF(Table1[[#This Row],[Project_Status]]=Table1[[#This Row],[Project_Expected_Status]],"OK","Mismatch")))</f>
        <v>Mismatch</v>
      </c>
      <c r="U67" s="5"/>
      <c r="V67">
        <f>Table1[[#This Row],[Actual_Duration_Days]]-Table1[[#This Row],[Planned_Duration_Days]]</f>
        <v>29</v>
      </c>
      <c r="W67" t="str" cm="1">
        <f t="array" ref="W67">_xlfn.IFS(Table1[[#This Row],[Schedule_Variance]]&gt;0,"Behind Schedule",Table1[[#This Row],[Schedule_Variance]]&lt;0,"Ahead of Schedule",Table1[[#This Row],[Schedule_Variance]]=0,"On Schedule")</f>
        <v>Behind Schedule</v>
      </c>
      <c r="X67" s="26">
        <f>IF(OR(ISBLANK(Table1[[#This Row],[Actual_Cost_ZAR]])),"",Table1[[#This Row],[Actual_Cost_ZAR]]-Table1[[#This Row],[Budget_ZAR]])</f>
        <v>1685605.29</v>
      </c>
      <c r="Y67" s="9" t="str">
        <f>IF(OR(Table1[[#This Row],[Cost_Variance]]="",Table1[[#This Row],[Budget_ZAR]]=""),"",Table1[[#This Row],[Cost_Variance]]/Table1[[#This Row],[Budget_ZAR]])</f>
        <v/>
      </c>
      <c r="Z67" t="str">
        <f>IF(OR(Table1[[#This Row],[Budget_ZAR]]="",Table1[[#This Row],[Actual_Cost_ZAR]]=""),"Missing Data",IF(Table1[[#This Row],[Cost_Variance]]&lt;0,"Under Budget",IF(Table1[[#This Row],[Cost_Variance]]=0,"On Budget","Over Budget")))</f>
        <v>Missing Data</v>
      </c>
      <c r="AA67" s="26">
        <f>IF(OR(ISBLANK(Table1[[#This Row],[Actual_Cost_ZAR]]),ISBLANK(Table1[[#This Row],[Budget_ZAR]])),0,Table1[[#This Row],[Actual_Cost_ZAR]]-Table1[[#This Row],[Budget_ZAR]])</f>
        <v>0</v>
      </c>
      <c r="AB67" s="9">
        <f>IF(OR(Table1[[#This Row],[Cost_Variance]]="",Table1[[#This Row],[Budget_ZAR]]=""),0,Table1[[#This Row],[Cost_Variance]]/Table1[[#This Row],[Budget_ZAR]])</f>
        <v>0</v>
      </c>
      <c r="AC67" t="str">
        <f>IF(Table1[[#This Row],[Last_Updated]] = "","Missing Date",IF(Table1[[#This Row],[Last_Updated]]=_xlfn.MAXIFS(Table1[Last_Updated],Table1[Project_ID],Table1[[#This Row],[Project_ID]]),"Latest","Older"))</f>
        <v>Missing Date</v>
      </c>
      <c r="AD67">
        <f>COUNTIFS(Table1[Project_ID],Table1[[#This Row],[Project_ID]],Table1[Last_Updated],"&gt;0")</f>
        <v>3</v>
      </c>
      <c r="AE67">
        <f>COUNTIFS(Table1[Project_ID],Table1[[#This Row],[Project_ID]],Table1[Latest_Record_Flag],"Latest")</f>
        <v>1</v>
      </c>
      <c r="AF67" t="str">
        <f>IF(Table1[[#This Row],[Latest_Count]]&gt;1,"Potential Duplicate -Review","Unique")</f>
        <v>Unique</v>
      </c>
      <c r="AG67" t="str">
        <f>IF(Table1[[#This Row],[Latest_Record_Flag]]&lt;&gt;"Latest","",IF(Table1[[#This Row],[Latest_Count]]&gt;1,"Review - Tied Latest Date", "OK"))</f>
        <v/>
      </c>
    </row>
    <row r="68" spans="1:33" x14ac:dyDescent="0.25">
      <c r="A68" s="2" t="s">
        <v>195</v>
      </c>
      <c r="B68" s="2" t="s">
        <v>101</v>
      </c>
      <c r="C68" s="2" t="s">
        <v>173</v>
      </c>
      <c r="D68" s="2" t="s">
        <v>37</v>
      </c>
      <c r="E68" s="2" t="s">
        <v>85</v>
      </c>
      <c r="F68" s="2" t="s">
        <v>44</v>
      </c>
      <c r="G68" s="2" t="s">
        <v>31</v>
      </c>
      <c r="H68" s="2" t="s">
        <v>38</v>
      </c>
      <c r="I68" s="5">
        <v>45750</v>
      </c>
      <c r="J68" s="2">
        <v>63</v>
      </c>
      <c r="K68" s="2">
        <v>59</v>
      </c>
      <c r="L68" s="14">
        <v>743552.19</v>
      </c>
      <c r="M68" s="14" t="str">
        <f>IF(Table1[[#This Row],[Budget_ZAR]]="", "Missing", "Present")</f>
        <v>Present</v>
      </c>
      <c r="N68" s="14">
        <v>903728.05</v>
      </c>
      <c r="O68" s="14" t="str">
        <f>IF(Table1[[#This Row],[Actual_Cost_ZAR]]="","Missing","Present")</f>
        <v>Present</v>
      </c>
      <c r="P68"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68" s="2">
        <v>40</v>
      </c>
      <c r="R68" s="2" t="s">
        <v>33</v>
      </c>
      <c r="S68" s="2" t="str" cm="1">
        <f t="array" ref="S68">IF(Table1[[#This Row],[Progress_Percent]]="unknown","Unknown",_xlfn.IFS(Table1[[#This Row],[Progress_Percent]]&lt;=10,"Planning",Table1[[#This Row],[Progress_Percent]]&lt;100, "In Progress",Table1[[#This Row],[Progress_Percent]]=100,"Completed"))</f>
        <v>In Progress</v>
      </c>
      <c r="T68" s="2" t="str">
        <f>IF(Table1[[#This Row],[Progress_Percent]]="unknown","Unknown",IF(Table1[[#This Row],[Project_Status]]="On Hold","Review",IF(Table1[[#This Row],[Project_Status]]=Table1[[#This Row],[Project_Expected_Status]],"OK","Mismatch")))</f>
        <v>Review</v>
      </c>
      <c r="U68" s="5">
        <v>45753</v>
      </c>
      <c r="V68">
        <f>Table1[[#This Row],[Actual_Duration_Days]]-Table1[[#This Row],[Planned_Duration_Days]]</f>
        <v>-4</v>
      </c>
      <c r="W68" t="str" cm="1">
        <f t="array" ref="W68">_xlfn.IFS(Table1[[#This Row],[Schedule_Variance]]&gt;0,"Behind Schedule",Table1[[#This Row],[Schedule_Variance]]&lt;0,"Ahead of Schedule",Table1[[#This Row],[Schedule_Variance]]=0,"On Schedule")</f>
        <v>Ahead of Schedule</v>
      </c>
      <c r="X68" s="26">
        <f>IF(OR(ISBLANK(Table1[[#This Row],[Actual_Cost_ZAR]])),"",Table1[[#This Row],[Actual_Cost_ZAR]]-Table1[[#This Row],[Budget_ZAR]])</f>
        <v>160175.8600000001</v>
      </c>
      <c r="Y68" s="9">
        <f>IF(OR(Table1[[#This Row],[Cost_Variance]]="",Table1[[#This Row],[Budget_ZAR]]=""),"",Table1[[#This Row],[Cost_Variance]]/Table1[[#This Row],[Budget_ZAR]])</f>
        <v>0.21541979454058244</v>
      </c>
      <c r="Z68" t="str">
        <f>IF(OR(Table1[[#This Row],[Budget_ZAR]]="",Table1[[#This Row],[Actual_Cost_ZAR]]=""),"Missing Data",IF(Table1[[#This Row],[Cost_Variance]]&lt;0,"Under Budget",IF(Table1[[#This Row],[Cost_Variance]]=0,"On Budget","Over Budget")))</f>
        <v>Over Budget</v>
      </c>
      <c r="AA68" s="26">
        <f>IF(OR(ISBLANK(Table1[[#This Row],[Actual_Cost_ZAR]]),ISBLANK(Table1[[#This Row],[Budget_ZAR]])),0,Table1[[#This Row],[Actual_Cost_ZAR]]-Table1[[#This Row],[Budget_ZAR]])</f>
        <v>160175.8600000001</v>
      </c>
      <c r="AB68" s="9">
        <f>IF(OR(Table1[[#This Row],[Cost_Variance]]="",Table1[[#This Row],[Budget_ZAR]]=""),0,Table1[[#This Row],[Cost_Variance]]/Table1[[#This Row],[Budget_ZAR]])</f>
        <v>0.21541979454058244</v>
      </c>
      <c r="AC68" t="str">
        <f>IF(Table1[[#This Row],[Last_Updated]] = "","Missing Date",IF(Table1[[#This Row],[Last_Updated]]=_xlfn.MAXIFS(Table1[Last_Updated],Table1[Project_ID],Table1[[#This Row],[Project_ID]]),"Latest","Older"))</f>
        <v>Older</v>
      </c>
      <c r="AD68">
        <f>COUNTIFS(Table1[Project_ID],Table1[[#This Row],[Project_ID]],Table1[Last_Updated],"&gt;0")</f>
        <v>3</v>
      </c>
      <c r="AE68">
        <f>COUNTIFS(Table1[Project_ID],Table1[[#This Row],[Project_ID]],Table1[Latest_Record_Flag],"Latest")</f>
        <v>1</v>
      </c>
      <c r="AF68" t="str">
        <f>IF(Table1[[#This Row],[Latest_Count]]&gt;1,"Potential Duplicate -Review","Unique")</f>
        <v>Unique</v>
      </c>
      <c r="AG68" t="str">
        <f>IF(Table1[[#This Row],[Latest_Record_Flag]]&lt;&gt;"Latest","",IF(Table1[[#This Row],[Latest_Count]]&gt;1,"Review - Tied Latest Date", "OK"))</f>
        <v/>
      </c>
    </row>
    <row r="69" spans="1:33" x14ac:dyDescent="0.25">
      <c r="A69" s="2" t="s">
        <v>196</v>
      </c>
      <c r="B69" s="2" t="s">
        <v>106</v>
      </c>
      <c r="C69" s="2" t="s">
        <v>197</v>
      </c>
      <c r="D69" s="2" t="s">
        <v>117</v>
      </c>
      <c r="E69" s="2" t="s">
        <v>85</v>
      </c>
      <c r="F69" s="2" t="s">
        <v>265</v>
      </c>
      <c r="G69" s="2" t="s">
        <v>76</v>
      </c>
      <c r="H69" s="2" t="s">
        <v>61</v>
      </c>
      <c r="I69" s="5">
        <v>45805</v>
      </c>
      <c r="J69" s="2">
        <v>159</v>
      </c>
      <c r="K69" s="2">
        <v>154</v>
      </c>
      <c r="L69" s="14">
        <v>711636.88</v>
      </c>
      <c r="M69" s="14" t="str">
        <f>IF(Table1[[#This Row],[Budget_ZAR]]="", "Missing", "Present")</f>
        <v>Present</v>
      </c>
      <c r="N69" s="14">
        <v>891409.04</v>
      </c>
      <c r="O69" s="14" t="str">
        <f>IF(Table1[[#This Row],[Actual_Cost_ZAR]]="","Missing","Present")</f>
        <v>Present</v>
      </c>
      <c r="P69"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69" s="7">
        <v>0.75</v>
      </c>
      <c r="R69" s="2" t="s">
        <v>33</v>
      </c>
      <c r="S69" s="2" t="str" cm="1">
        <f t="array" ref="S69">IF(Table1[[#This Row],[Progress_Percent]]="unknown","Unknown",_xlfn.IFS(Table1[[#This Row],[Progress_Percent]]&lt;=10,"Planning",Table1[[#This Row],[Progress_Percent]]&lt;100, "In Progress",Table1[[#This Row],[Progress_Percent]]=100,"Completed"))</f>
        <v>Planning</v>
      </c>
      <c r="T69" s="2" t="str">
        <f>IF(Table1[[#This Row],[Progress_Percent]]="unknown","Unknown",IF(Table1[[#This Row],[Project_Status]]="On Hold","Review",IF(Table1[[#This Row],[Project_Status]]=Table1[[#This Row],[Project_Expected_Status]],"OK","Mismatch")))</f>
        <v>Review</v>
      </c>
      <c r="U69" s="5">
        <v>45866</v>
      </c>
      <c r="V69">
        <f>Table1[[#This Row],[Actual_Duration_Days]]-Table1[[#This Row],[Planned_Duration_Days]]</f>
        <v>-5</v>
      </c>
      <c r="W69" t="str" cm="1">
        <f t="array" ref="W69">_xlfn.IFS(Table1[[#This Row],[Schedule_Variance]]&gt;0,"Behind Schedule",Table1[[#This Row],[Schedule_Variance]]&lt;0,"Ahead of Schedule",Table1[[#This Row],[Schedule_Variance]]=0,"On Schedule")</f>
        <v>Ahead of Schedule</v>
      </c>
      <c r="X69" s="26">
        <f>IF(OR(ISBLANK(Table1[[#This Row],[Actual_Cost_ZAR]])),"",Table1[[#This Row],[Actual_Cost_ZAR]]-Table1[[#This Row],[Budget_ZAR]])</f>
        <v>179772.16000000003</v>
      </c>
      <c r="Y69" s="9">
        <f>IF(OR(Table1[[#This Row],[Cost_Variance]]="",Table1[[#This Row],[Budget_ZAR]]=""),"",Table1[[#This Row],[Cost_Variance]]/Table1[[#This Row],[Budget_ZAR]])</f>
        <v>0.25261782385421061</v>
      </c>
      <c r="Z69" t="str">
        <f>IF(OR(Table1[[#This Row],[Budget_ZAR]]="",Table1[[#This Row],[Actual_Cost_ZAR]]=""),"Missing Data",IF(Table1[[#This Row],[Cost_Variance]]&lt;0,"Under Budget",IF(Table1[[#This Row],[Cost_Variance]]=0,"On Budget","Over Budget")))</f>
        <v>Over Budget</v>
      </c>
      <c r="AA69" s="26">
        <f>IF(OR(ISBLANK(Table1[[#This Row],[Actual_Cost_ZAR]]),ISBLANK(Table1[[#This Row],[Budget_ZAR]])),0,Table1[[#This Row],[Actual_Cost_ZAR]]-Table1[[#This Row],[Budget_ZAR]])</f>
        <v>179772.16000000003</v>
      </c>
      <c r="AB69" s="9">
        <f>IF(OR(Table1[[#This Row],[Cost_Variance]]="",Table1[[#This Row],[Budget_ZAR]]=""),0,Table1[[#This Row],[Cost_Variance]]/Table1[[#This Row],[Budget_ZAR]])</f>
        <v>0.25261782385421061</v>
      </c>
      <c r="AC69" t="str">
        <f>IF(Table1[[#This Row],[Last_Updated]] = "","Missing Date",IF(Table1[[#This Row],[Last_Updated]]=_xlfn.MAXIFS(Table1[Last_Updated],Table1[Project_ID],Table1[[#This Row],[Project_ID]]),"Latest","Older"))</f>
        <v>Older</v>
      </c>
      <c r="AD69">
        <f>COUNTIFS(Table1[Project_ID],Table1[[#This Row],[Project_ID]],Table1[Last_Updated],"&gt;0")</f>
        <v>6</v>
      </c>
      <c r="AE69">
        <f>COUNTIFS(Table1[Project_ID],Table1[[#This Row],[Project_ID]],Table1[Latest_Record_Flag],"Latest")</f>
        <v>1</v>
      </c>
      <c r="AF69" t="str">
        <f>IF(Table1[[#This Row],[Latest_Count]]&gt;1,"Potential Duplicate -Review","Unique")</f>
        <v>Unique</v>
      </c>
      <c r="AG69" t="str">
        <f>IF(Table1[[#This Row],[Latest_Record_Flag]]&lt;&gt;"Latest","",IF(Table1[[#This Row],[Latest_Count]]&gt;1,"Review - Tied Latest Date", "OK"))</f>
        <v/>
      </c>
    </row>
    <row r="70" spans="1:33" x14ac:dyDescent="0.25">
      <c r="A70" s="2" t="s">
        <v>198</v>
      </c>
      <c r="B70" s="2" t="s">
        <v>131</v>
      </c>
      <c r="C70" s="2" t="s">
        <v>27</v>
      </c>
      <c r="D70" s="2" t="s">
        <v>328</v>
      </c>
      <c r="E70" s="2" t="s">
        <v>20</v>
      </c>
      <c r="F70" s="2" t="s">
        <v>48</v>
      </c>
      <c r="G70" s="2" t="s">
        <v>76</v>
      </c>
      <c r="H70" s="2" t="s">
        <v>65</v>
      </c>
      <c r="I70" s="5">
        <v>45950</v>
      </c>
      <c r="J70" s="2">
        <v>111</v>
      </c>
      <c r="K70" s="2">
        <v>132</v>
      </c>
      <c r="L70" s="14"/>
      <c r="M70" s="14" t="str">
        <f>IF(Table1[[#This Row],[Budget_ZAR]]="", "Missing", "Present")</f>
        <v>Missing</v>
      </c>
      <c r="N70" s="14">
        <v>2371342.08</v>
      </c>
      <c r="O70" s="14" t="str">
        <f>IF(Table1[[#This Row],[Actual_Cost_ZAR]]="","Missing","Present")</f>
        <v>Present</v>
      </c>
      <c r="P70"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Budget Missing</v>
      </c>
      <c r="Q70" s="2">
        <v>0</v>
      </c>
      <c r="R70" s="2" t="s">
        <v>33</v>
      </c>
      <c r="S70" s="2" t="str" cm="1">
        <f t="array" ref="S70">IF(Table1[[#This Row],[Progress_Percent]]="unknown","Unknown",_xlfn.IFS(Table1[[#This Row],[Progress_Percent]]&lt;=10,"Planning",Table1[[#This Row],[Progress_Percent]]&lt;100, "In Progress",Table1[[#This Row],[Progress_Percent]]=100,"Completed"))</f>
        <v>Planning</v>
      </c>
      <c r="T70" s="2" t="str">
        <f>IF(Table1[[#This Row],[Progress_Percent]]="unknown","Unknown",IF(Table1[[#This Row],[Project_Status]]="On Hold","Review",IF(Table1[[#This Row],[Project_Status]]=Table1[[#This Row],[Project_Expected_Status]],"OK","Mismatch")))</f>
        <v>Review</v>
      </c>
      <c r="U70" s="5">
        <v>46009</v>
      </c>
      <c r="V70">
        <f>Table1[[#This Row],[Actual_Duration_Days]]-Table1[[#This Row],[Planned_Duration_Days]]</f>
        <v>21</v>
      </c>
      <c r="W70" t="str" cm="1">
        <f t="array" ref="W70">_xlfn.IFS(Table1[[#This Row],[Schedule_Variance]]&gt;0,"Behind Schedule",Table1[[#This Row],[Schedule_Variance]]&lt;0,"Ahead of Schedule",Table1[[#This Row],[Schedule_Variance]]=0,"On Schedule")</f>
        <v>Behind Schedule</v>
      </c>
      <c r="X70" s="26">
        <f>IF(OR(ISBLANK(Table1[[#This Row],[Actual_Cost_ZAR]])),"",Table1[[#This Row],[Actual_Cost_ZAR]]-Table1[[#This Row],[Budget_ZAR]])</f>
        <v>2371342.08</v>
      </c>
      <c r="Y70" s="9" t="str">
        <f>IF(OR(Table1[[#This Row],[Cost_Variance]]="",Table1[[#This Row],[Budget_ZAR]]=""),"",Table1[[#This Row],[Cost_Variance]]/Table1[[#This Row],[Budget_ZAR]])</f>
        <v/>
      </c>
      <c r="Z70" t="str">
        <f>IF(OR(Table1[[#This Row],[Budget_ZAR]]="",Table1[[#This Row],[Actual_Cost_ZAR]]=""),"Missing Data",IF(Table1[[#This Row],[Cost_Variance]]&lt;0,"Under Budget",IF(Table1[[#This Row],[Cost_Variance]]=0,"On Budget","Over Budget")))</f>
        <v>Missing Data</v>
      </c>
      <c r="AA70" s="26">
        <f>IF(OR(ISBLANK(Table1[[#This Row],[Actual_Cost_ZAR]]),ISBLANK(Table1[[#This Row],[Budget_ZAR]])),0,Table1[[#This Row],[Actual_Cost_ZAR]]-Table1[[#This Row],[Budget_ZAR]])</f>
        <v>0</v>
      </c>
      <c r="AB70" s="9">
        <f>IF(OR(Table1[[#This Row],[Cost_Variance]]="",Table1[[#This Row],[Budget_ZAR]]=""),0,Table1[[#This Row],[Cost_Variance]]/Table1[[#This Row],[Budget_ZAR]])</f>
        <v>0</v>
      </c>
      <c r="AC70" t="str">
        <f>IF(Table1[[#This Row],[Last_Updated]] = "","Missing Date",IF(Table1[[#This Row],[Last_Updated]]=_xlfn.MAXIFS(Table1[Last_Updated],Table1[Project_ID],Table1[[#This Row],[Project_ID]]),"Latest","Older"))</f>
        <v>Older</v>
      </c>
      <c r="AD70">
        <f>COUNTIFS(Table1[Project_ID],Table1[[#This Row],[Project_ID]],Table1[Last_Updated],"&gt;0")</f>
        <v>7</v>
      </c>
      <c r="AE70">
        <f>COUNTIFS(Table1[Project_ID],Table1[[#This Row],[Project_ID]],Table1[Latest_Record_Flag],"Latest")</f>
        <v>1</v>
      </c>
      <c r="AF70" t="str">
        <f>IF(Table1[[#This Row],[Latest_Count]]&gt;1,"Potential Duplicate -Review","Unique")</f>
        <v>Unique</v>
      </c>
      <c r="AG70" t="str">
        <f>IF(Table1[[#This Row],[Latest_Record_Flag]]&lt;&gt;"Latest","",IF(Table1[[#This Row],[Latest_Count]]&gt;1,"Review - Tied Latest Date", "OK"))</f>
        <v/>
      </c>
    </row>
    <row r="71" spans="1:33" x14ac:dyDescent="0.25">
      <c r="A71" s="2" t="s">
        <v>199</v>
      </c>
      <c r="B71" s="2" t="s">
        <v>200</v>
      </c>
      <c r="C71" s="2" t="s">
        <v>186</v>
      </c>
      <c r="D71" s="2" t="s">
        <v>37</v>
      </c>
      <c r="E71" s="2" t="s">
        <v>20</v>
      </c>
      <c r="F71" s="2" t="s">
        <v>48</v>
      </c>
      <c r="G71" s="2" t="s">
        <v>31</v>
      </c>
      <c r="H71" s="2" t="s">
        <v>38</v>
      </c>
      <c r="I71" s="5">
        <v>45838</v>
      </c>
      <c r="J71" s="2">
        <v>76</v>
      </c>
      <c r="K71" s="2">
        <v>101</v>
      </c>
      <c r="L71" s="14">
        <v>1438324.93</v>
      </c>
      <c r="M71" s="14" t="str">
        <f>IF(Table1[[#This Row],[Budget_ZAR]]="", "Missing", "Present")</f>
        <v>Present</v>
      </c>
      <c r="N71" s="14">
        <v>1302134.83</v>
      </c>
      <c r="O71" s="14" t="str">
        <f>IF(Table1[[#This Row],[Actual_Cost_ZAR]]="","Missing","Present")</f>
        <v>Present</v>
      </c>
      <c r="P71"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71" s="2">
        <v>25</v>
      </c>
      <c r="R71" s="2" t="s">
        <v>24</v>
      </c>
      <c r="S71" s="2" t="str" cm="1">
        <f t="array" ref="S71">IF(Table1[[#This Row],[Progress_Percent]]="unknown","Unknown",_xlfn.IFS(Table1[[#This Row],[Progress_Percent]]&lt;=10,"Planning",Table1[[#This Row],[Progress_Percent]]&lt;100, "In Progress",Table1[[#This Row],[Progress_Percent]]=100,"Completed"))</f>
        <v>In Progress</v>
      </c>
      <c r="T71" s="2" t="str">
        <f>IF(Table1[[#This Row],[Progress_Percent]]="unknown","Unknown",IF(Table1[[#This Row],[Project_Status]]="On Hold","Review",IF(Table1[[#This Row],[Project_Status]]=Table1[[#This Row],[Project_Expected_Status]],"OK","Mismatch")))</f>
        <v>Mismatch</v>
      </c>
      <c r="U71" s="5">
        <v>45872</v>
      </c>
      <c r="V71">
        <f>Table1[[#This Row],[Actual_Duration_Days]]-Table1[[#This Row],[Planned_Duration_Days]]</f>
        <v>25</v>
      </c>
      <c r="W71" t="str" cm="1">
        <f t="array" ref="W71">_xlfn.IFS(Table1[[#This Row],[Schedule_Variance]]&gt;0,"Behind Schedule",Table1[[#This Row],[Schedule_Variance]]&lt;0,"Ahead of Schedule",Table1[[#This Row],[Schedule_Variance]]=0,"On Schedule")</f>
        <v>Behind Schedule</v>
      </c>
      <c r="X71" s="26">
        <f>IF(OR(ISBLANK(Table1[[#This Row],[Actual_Cost_ZAR]])),"",Table1[[#This Row],[Actual_Cost_ZAR]]-Table1[[#This Row],[Budget_ZAR]])</f>
        <v>-136190.09999999986</v>
      </c>
      <c r="Y71" s="9">
        <f>IF(OR(Table1[[#This Row],[Cost_Variance]]="",Table1[[#This Row],[Budget_ZAR]]=""),"",Table1[[#This Row],[Cost_Variance]]/Table1[[#This Row],[Budget_ZAR]])</f>
        <v>-9.4686601865407324E-2</v>
      </c>
      <c r="Z71" t="str">
        <f>IF(OR(Table1[[#This Row],[Budget_ZAR]]="",Table1[[#This Row],[Actual_Cost_ZAR]]=""),"Missing Data",IF(Table1[[#This Row],[Cost_Variance]]&lt;0,"Under Budget",IF(Table1[[#This Row],[Cost_Variance]]=0,"On Budget","Over Budget")))</f>
        <v>Under Budget</v>
      </c>
      <c r="AA71" s="26">
        <f>IF(OR(ISBLANK(Table1[[#This Row],[Actual_Cost_ZAR]]),ISBLANK(Table1[[#This Row],[Budget_ZAR]])),0,Table1[[#This Row],[Actual_Cost_ZAR]]-Table1[[#This Row],[Budget_ZAR]])</f>
        <v>-136190.09999999986</v>
      </c>
      <c r="AB71" s="9">
        <f>IF(OR(Table1[[#This Row],[Cost_Variance]]="",Table1[[#This Row],[Budget_ZAR]]=""),0,Table1[[#This Row],[Cost_Variance]]/Table1[[#This Row],[Budget_ZAR]])</f>
        <v>-9.4686601865407324E-2</v>
      </c>
      <c r="AC71" t="str">
        <f>IF(Table1[[#This Row],[Last_Updated]] = "","Missing Date",IF(Table1[[#This Row],[Last_Updated]]=_xlfn.MAXIFS(Table1[Last_Updated],Table1[Project_ID],Table1[[#This Row],[Project_ID]]),"Latest","Older"))</f>
        <v>Older</v>
      </c>
      <c r="AD71">
        <f>COUNTIFS(Table1[Project_ID],Table1[[#This Row],[Project_ID]],Table1[Last_Updated],"&gt;0")</f>
        <v>4</v>
      </c>
      <c r="AE71">
        <f>COUNTIFS(Table1[Project_ID],Table1[[#This Row],[Project_ID]],Table1[Latest_Record_Flag],"Latest")</f>
        <v>1</v>
      </c>
      <c r="AF71" t="str">
        <f>IF(Table1[[#This Row],[Latest_Count]]&gt;1,"Potential Duplicate -Review","Unique")</f>
        <v>Unique</v>
      </c>
      <c r="AG71" t="str">
        <f>IF(Table1[[#This Row],[Latest_Record_Flag]]&lt;&gt;"Latest","",IF(Table1[[#This Row],[Latest_Count]]&gt;1,"Review - Tied Latest Date", "OK"))</f>
        <v/>
      </c>
    </row>
    <row r="72" spans="1:33" x14ac:dyDescent="0.25">
      <c r="A72" s="2" t="s">
        <v>201</v>
      </c>
      <c r="B72" s="2" t="s">
        <v>73</v>
      </c>
      <c r="C72" s="2" t="s">
        <v>202</v>
      </c>
      <c r="D72" s="2" t="s">
        <v>117</v>
      </c>
      <c r="E72" s="2" t="s">
        <v>29</v>
      </c>
      <c r="F72" s="2" t="s">
        <v>265</v>
      </c>
      <c r="G72" s="2" t="s">
        <v>31</v>
      </c>
      <c r="H72" s="2" t="s">
        <v>61</v>
      </c>
      <c r="I72" s="5">
        <v>45809</v>
      </c>
      <c r="J72" s="2">
        <v>103</v>
      </c>
      <c r="K72" s="2">
        <v>135</v>
      </c>
      <c r="L72" s="14">
        <v>2846894.33</v>
      </c>
      <c r="M72" s="14" t="str">
        <f>IF(Table1[[#This Row],[Budget_ZAR]]="", "Missing", "Present")</f>
        <v>Present</v>
      </c>
      <c r="N72" s="14">
        <v>2506398.36</v>
      </c>
      <c r="O72" s="14" t="str">
        <f>IF(Table1[[#This Row],[Actual_Cost_ZAR]]="","Missing","Present")</f>
        <v>Present</v>
      </c>
      <c r="P72"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72" s="2"/>
      <c r="R72" s="2" t="s">
        <v>54</v>
      </c>
      <c r="S72" s="2" t="str" cm="1">
        <f t="array" ref="S72">IF(Table1[[#This Row],[Progress_Percent]]="unknown","Unknown",_xlfn.IFS(Table1[[#This Row],[Progress_Percent]]&lt;=10,"Planning",Table1[[#This Row],[Progress_Percent]]&lt;100, "In Progress",Table1[[#This Row],[Progress_Percent]]=100,"Completed"))</f>
        <v>Planning</v>
      </c>
      <c r="T72" s="2" t="str">
        <f>IF(Table1[[#This Row],[Progress_Percent]]="unknown","Unknown",IF(Table1[[#This Row],[Project_Status]]="On Hold","Review",IF(Table1[[#This Row],[Project_Status]]=Table1[[#This Row],[Project_Expected_Status]],"OK","Mismatch")))</f>
        <v>Mismatch</v>
      </c>
      <c r="U72" s="5">
        <v>45929</v>
      </c>
      <c r="V72">
        <f>Table1[[#This Row],[Actual_Duration_Days]]-Table1[[#This Row],[Planned_Duration_Days]]</f>
        <v>32</v>
      </c>
      <c r="W72" t="str" cm="1">
        <f t="array" ref="W72">_xlfn.IFS(Table1[[#This Row],[Schedule_Variance]]&gt;0,"Behind Schedule",Table1[[#This Row],[Schedule_Variance]]&lt;0,"Ahead of Schedule",Table1[[#This Row],[Schedule_Variance]]=0,"On Schedule")</f>
        <v>Behind Schedule</v>
      </c>
      <c r="X72" s="26">
        <f>IF(OR(ISBLANK(Table1[[#This Row],[Actual_Cost_ZAR]])),"",Table1[[#This Row],[Actual_Cost_ZAR]]-Table1[[#This Row],[Budget_ZAR]])</f>
        <v>-340495.9700000002</v>
      </c>
      <c r="Y72" s="9">
        <f>IF(OR(Table1[[#This Row],[Cost_Variance]]="",Table1[[#This Row],[Budget_ZAR]]=""),"",Table1[[#This Row],[Cost_Variance]]/Table1[[#This Row],[Budget_ZAR]])</f>
        <v>-0.11960260218018004</v>
      </c>
      <c r="Z72" t="str">
        <f>IF(OR(Table1[[#This Row],[Budget_ZAR]]="",Table1[[#This Row],[Actual_Cost_ZAR]]=""),"Missing Data",IF(Table1[[#This Row],[Cost_Variance]]&lt;0,"Under Budget",IF(Table1[[#This Row],[Cost_Variance]]=0,"On Budget","Over Budget")))</f>
        <v>Under Budget</v>
      </c>
      <c r="AA72" s="26">
        <f>IF(OR(ISBLANK(Table1[[#This Row],[Actual_Cost_ZAR]]),ISBLANK(Table1[[#This Row],[Budget_ZAR]])),0,Table1[[#This Row],[Actual_Cost_ZAR]]-Table1[[#This Row],[Budget_ZAR]])</f>
        <v>-340495.9700000002</v>
      </c>
      <c r="AB72" s="9">
        <f>IF(OR(Table1[[#This Row],[Cost_Variance]]="",Table1[[#This Row],[Budget_ZAR]]=""),0,Table1[[#This Row],[Cost_Variance]]/Table1[[#This Row],[Budget_ZAR]])</f>
        <v>-0.11960260218018004</v>
      </c>
      <c r="AC72" t="str">
        <f>IF(Table1[[#This Row],[Last_Updated]] = "","Missing Date",IF(Table1[[#This Row],[Last_Updated]]=_xlfn.MAXIFS(Table1[Last_Updated],Table1[Project_ID],Table1[[#This Row],[Project_ID]]),"Latest","Older"))</f>
        <v>Older</v>
      </c>
      <c r="AD72">
        <f>COUNTIFS(Table1[Project_ID],Table1[[#This Row],[Project_ID]],Table1[Last_Updated],"&gt;0")</f>
        <v>4</v>
      </c>
      <c r="AE72">
        <f>COUNTIFS(Table1[Project_ID],Table1[[#This Row],[Project_ID]],Table1[Latest_Record_Flag],"Latest")</f>
        <v>1</v>
      </c>
      <c r="AF72" t="str">
        <f>IF(Table1[[#This Row],[Latest_Count]]&gt;1,"Potential Duplicate -Review","Unique")</f>
        <v>Unique</v>
      </c>
      <c r="AG72" t="str">
        <f>IF(Table1[[#This Row],[Latest_Record_Flag]]&lt;&gt;"Latest","",IF(Table1[[#This Row],[Latest_Count]]&gt;1,"Review - Tied Latest Date", "OK"))</f>
        <v/>
      </c>
    </row>
    <row r="73" spans="1:33" x14ac:dyDescent="0.25">
      <c r="A73" s="2" t="s">
        <v>203</v>
      </c>
      <c r="B73" s="2" t="s">
        <v>73</v>
      </c>
      <c r="C73" s="2" t="s">
        <v>204</v>
      </c>
      <c r="D73" s="2" t="s">
        <v>19</v>
      </c>
      <c r="E73" s="2" t="s">
        <v>43</v>
      </c>
      <c r="F73" s="2" t="s">
        <v>48</v>
      </c>
      <c r="G73" s="2" t="s">
        <v>60</v>
      </c>
      <c r="H73" s="2" t="s">
        <v>108</v>
      </c>
      <c r="I73" s="5">
        <v>45730</v>
      </c>
      <c r="J73" s="2">
        <v>77</v>
      </c>
      <c r="K73" s="2">
        <v>117</v>
      </c>
      <c r="L73" s="14">
        <v>4477023.28</v>
      </c>
      <c r="M73" s="14" t="str">
        <f>IF(Table1[[#This Row],[Budget_ZAR]]="", "Missing", "Present")</f>
        <v>Present</v>
      </c>
      <c r="N73" s="14">
        <v>5001744.3600000003</v>
      </c>
      <c r="O73" s="14" t="str">
        <f>IF(Table1[[#This Row],[Actual_Cost_ZAR]]="","Missing","Present")</f>
        <v>Present</v>
      </c>
      <c r="P73"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73" s="2">
        <v>85</v>
      </c>
      <c r="R73" s="2" t="s">
        <v>54</v>
      </c>
      <c r="S73" s="2" t="str" cm="1">
        <f t="array" ref="S73">IF(Table1[[#This Row],[Progress_Percent]]="unknown","Unknown",_xlfn.IFS(Table1[[#This Row],[Progress_Percent]]&lt;=10,"Planning",Table1[[#This Row],[Progress_Percent]]&lt;100, "In Progress",Table1[[#This Row],[Progress_Percent]]=100,"Completed"))</f>
        <v>In Progress</v>
      </c>
      <c r="T73" s="2" t="str">
        <f>IF(Table1[[#This Row],[Progress_Percent]]="unknown","Unknown",IF(Table1[[#This Row],[Project_Status]]="On Hold","Review",IF(Table1[[#This Row],[Project_Status]]=Table1[[#This Row],[Project_Expected_Status]],"OK","Mismatch")))</f>
        <v>Mismatch</v>
      </c>
      <c r="U73" s="5">
        <v>45825</v>
      </c>
      <c r="V73">
        <f>Table1[[#This Row],[Actual_Duration_Days]]-Table1[[#This Row],[Planned_Duration_Days]]</f>
        <v>40</v>
      </c>
      <c r="W73" t="str" cm="1">
        <f t="array" ref="W73">_xlfn.IFS(Table1[[#This Row],[Schedule_Variance]]&gt;0,"Behind Schedule",Table1[[#This Row],[Schedule_Variance]]&lt;0,"Ahead of Schedule",Table1[[#This Row],[Schedule_Variance]]=0,"On Schedule")</f>
        <v>Behind Schedule</v>
      </c>
      <c r="X73" s="26">
        <f>IF(OR(ISBLANK(Table1[[#This Row],[Actual_Cost_ZAR]])),"",Table1[[#This Row],[Actual_Cost_ZAR]]-Table1[[#This Row],[Budget_ZAR]])</f>
        <v>524721.08000000007</v>
      </c>
      <c r="Y73" s="9">
        <f>IF(OR(Table1[[#This Row],[Cost_Variance]]="",Table1[[#This Row],[Budget_ZAR]]=""),"",Table1[[#This Row],[Cost_Variance]]/Table1[[#This Row],[Budget_ZAR]])</f>
        <v>0.11720311626344727</v>
      </c>
      <c r="Z73" t="str">
        <f>IF(OR(Table1[[#This Row],[Budget_ZAR]]="",Table1[[#This Row],[Actual_Cost_ZAR]]=""),"Missing Data",IF(Table1[[#This Row],[Cost_Variance]]&lt;0,"Under Budget",IF(Table1[[#This Row],[Cost_Variance]]=0,"On Budget","Over Budget")))</f>
        <v>Over Budget</v>
      </c>
      <c r="AA73" s="26">
        <f>IF(OR(ISBLANK(Table1[[#This Row],[Actual_Cost_ZAR]]),ISBLANK(Table1[[#This Row],[Budget_ZAR]])),0,Table1[[#This Row],[Actual_Cost_ZAR]]-Table1[[#This Row],[Budget_ZAR]])</f>
        <v>524721.08000000007</v>
      </c>
      <c r="AB73" s="9">
        <f>IF(OR(Table1[[#This Row],[Cost_Variance]]="",Table1[[#This Row],[Budget_ZAR]]=""),0,Table1[[#This Row],[Cost_Variance]]/Table1[[#This Row],[Budget_ZAR]])</f>
        <v>0.11720311626344727</v>
      </c>
      <c r="AC73" t="str">
        <f>IF(Table1[[#This Row],[Last_Updated]] = "","Missing Date",IF(Table1[[#This Row],[Last_Updated]]=_xlfn.MAXIFS(Table1[Last_Updated],Table1[Project_ID],Table1[[#This Row],[Project_ID]]),"Latest","Older"))</f>
        <v>Older</v>
      </c>
      <c r="AD73">
        <f>COUNTIFS(Table1[Project_ID],Table1[[#This Row],[Project_ID]],Table1[Last_Updated],"&gt;0")</f>
        <v>4</v>
      </c>
      <c r="AE73">
        <f>COUNTIFS(Table1[Project_ID],Table1[[#This Row],[Project_ID]],Table1[Latest_Record_Flag],"Latest")</f>
        <v>1</v>
      </c>
      <c r="AF73" t="str">
        <f>IF(Table1[[#This Row],[Latest_Count]]&gt;1,"Potential Duplicate -Review","Unique")</f>
        <v>Unique</v>
      </c>
      <c r="AG73" t="str">
        <f>IF(Table1[[#This Row],[Latest_Record_Flag]]&lt;&gt;"Latest","",IF(Table1[[#This Row],[Latest_Count]]&gt;1,"Review - Tied Latest Date", "OK"))</f>
        <v/>
      </c>
    </row>
    <row r="74" spans="1:33" x14ac:dyDescent="0.25">
      <c r="A74" s="2" t="s">
        <v>205</v>
      </c>
      <c r="B74" s="2" t="s">
        <v>115</v>
      </c>
      <c r="C74" s="2" t="s">
        <v>206</v>
      </c>
      <c r="D74" s="2" t="s">
        <v>58</v>
      </c>
      <c r="E74" s="2" t="s">
        <v>85</v>
      </c>
      <c r="F74" s="2" t="s">
        <v>59</v>
      </c>
      <c r="G74" s="2" t="s">
        <v>76</v>
      </c>
      <c r="H74" s="2" t="s">
        <v>38</v>
      </c>
      <c r="I74" s="5">
        <v>45957</v>
      </c>
      <c r="J74" s="2">
        <v>117</v>
      </c>
      <c r="K74" s="2">
        <v>154</v>
      </c>
      <c r="L74" s="14">
        <v>4240932.92</v>
      </c>
      <c r="M74" s="14" t="str">
        <f>IF(Table1[[#This Row],[Budget_ZAR]]="", "Missing", "Present")</f>
        <v>Present</v>
      </c>
      <c r="N74" s="14">
        <v>4095625.07</v>
      </c>
      <c r="O74" s="14" t="str">
        <f>IF(Table1[[#This Row],[Actual_Cost_ZAR]]="","Missing","Present")</f>
        <v>Present</v>
      </c>
      <c r="P74"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74" s="2">
        <v>40</v>
      </c>
      <c r="R74" s="2" t="s">
        <v>33</v>
      </c>
      <c r="S74" s="2" t="str" cm="1">
        <f t="array" ref="S74">IF(Table1[[#This Row],[Progress_Percent]]="unknown","Unknown",_xlfn.IFS(Table1[[#This Row],[Progress_Percent]]&lt;=10,"Planning",Table1[[#This Row],[Progress_Percent]]&lt;100, "In Progress",Table1[[#This Row],[Progress_Percent]]=100,"Completed"))</f>
        <v>In Progress</v>
      </c>
      <c r="T74" s="2" t="str">
        <f>IF(Table1[[#This Row],[Progress_Percent]]="unknown","Unknown",IF(Table1[[#This Row],[Project_Status]]="On Hold","Review",IF(Table1[[#This Row],[Project_Status]]=Table1[[#This Row],[Project_Expected_Status]],"OK","Mismatch")))</f>
        <v>Review</v>
      </c>
      <c r="U74" s="5">
        <v>46035</v>
      </c>
      <c r="V74">
        <f>Table1[[#This Row],[Actual_Duration_Days]]-Table1[[#This Row],[Planned_Duration_Days]]</f>
        <v>37</v>
      </c>
      <c r="W74" t="str" cm="1">
        <f t="array" ref="W74">_xlfn.IFS(Table1[[#This Row],[Schedule_Variance]]&gt;0,"Behind Schedule",Table1[[#This Row],[Schedule_Variance]]&lt;0,"Ahead of Schedule",Table1[[#This Row],[Schedule_Variance]]=0,"On Schedule")</f>
        <v>Behind Schedule</v>
      </c>
      <c r="X74" s="26">
        <f>IF(OR(ISBLANK(Table1[[#This Row],[Actual_Cost_ZAR]])),"",Table1[[#This Row],[Actual_Cost_ZAR]]-Table1[[#This Row],[Budget_ZAR]])</f>
        <v>-145307.85000000009</v>
      </c>
      <c r="Y74" s="9">
        <f>IF(OR(Table1[[#This Row],[Cost_Variance]]="",Table1[[#This Row],[Budget_ZAR]]=""),"",Table1[[#This Row],[Cost_Variance]]/Table1[[#This Row],[Budget_ZAR]])</f>
        <v>-3.4263180470206565E-2</v>
      </c>
      <c r="Z74" t="str">
        <f>IF(OR(Table1[[#This Row],[Budget_ZAR]]="",Table1[[#This Row],[Actual_Cost_ZAR]]=""),"Missing Data",IF(Table1[[#This Row],[Cost_Variance]]&lt;0,"Under Budget",IF(Table1[[#This Row],[Cost_Variance]]=0,"On Budget","Over Budget")))</f>
        <v>Under Budget</v>
      </c>
      <c r="AA74" s="26">
        <f>IF(OR(ISBLANK(Table1[[#This Row],[Actual_Cost_ZAR]]),ISBLANK(Table1[[#This Row],[Budget_ZAR]])),0,Table1[[#This Row],[Actual_Cost_ZAR]]-Table1[[#This Row],[Budget_ZAR]])</f>
        <v>-145307.85000000009</v>
      </c>
      <c r="AB74" s="9">
        <f>IF(OR(Table1[[#This Row],[Cost_Variance]]="",Table1[[#This Row],[Budget_ZAR]]=""),0,Table1[[#This Row],[Cost_Variance]]/Table1[[#This Row],[Budget_ZAR]])</f>
        <v>-3.4263180470206565E-2</v>
      </c>
      <c r="AC74" t="str">
        <f>IF(Table1[[#This Row],[Last_Updated]] = "","Missing Date",IF(Table1[[#This Row],[Last_Updated]]=_xlfn.MAXIFS(Table1[Last_Updated],Table1[Project_ID],Table1[[#This Row],[Project_ID]]),"Latest","Older"))</f>
        <v>Older</v>
      </c>
      <c r="AD74">
        <f>COUNTIFS(Table1[Project_ID],Table1[[#This Row],[Project_ID]],Table1[Last_Updated],"&gt;0")</f>
        <v>3</v>
      </c>
      <c r="AE74">
        <f>COUNTIFS(Table1[Project_ID],Table1[[#This Row],[Project_ID]],Table1[Latest_Record_Flag],"Latest")</f>
        <v>1</v>
      </c>
      <c r="AF74" t="str">
        <f>IF(Table1[[#This Row],[Latest_Count]]&gt;1,"Potential Duplicate -Review","Unique")</f>
        <v>Unique</v>
      </c>
      <c r="AG74" t="str">
        <f>IF(Table1[[#This Row],[Latest_Record_Flag]]&lt;&gt;"Latest","",IF(Table1[[#This Row],[Latest_Count]]&gt;1,"Review - Tied Latest Date", "OK"))</f>
        <v/>
      </c>
    </row>
    <row r="75" spans="1:33" x14ac:dyDescent="0.25">
      <c r="A75" s="2" t="s">
        <v>207</v>
      </c>
      <c r="B75" s="2" t="s">
        <v>83</v>
      </c>
      <c r="C75" s="2" t="s">
        <v>99</v>
      </c>
      <c r="D75" s="2" t="s">
        <v>28</v>
      </c>
      <c r="E75" s="2" t="s">
        <v>85</v>
      </c>
      <c r="F75" s="2" t="s">
        <v>44</v>
      </c>
      <c r="G75" s="2" t="s">
        <v>76</v>
      </c>
      <c r="H75" s="2" t="s">
        <v>65</v>
      </c>
      <c r="I75" s="5">
        <v>45717</v>
      </c>
      <c r="J75" s="2">
        <v>55</v>
      </c>
      <c r="K75" s="2">
        <v>42</v>
      </c>
      <c r="L75" s="14"/>
      <c r="M75" s="14" t="str">
        <f>IF(Table1[[#This Row],[Budget_ZAR]]="", "Missing", "Present")</f>
        <v>Missing</v>
      </c>
      <c r="N75" s="14">
        <v>5746097.0999999996</v>
      </c>
      <c r="O75" s="14" t="str">
        <f>IF(Table1[[#This Row],[Actual_Cost_ZAR]]="","Missing","Present")</f>
        <v>Present</v>
      </c>
      <c r="P75"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Budget Missing</v>
      </c>
      <c r="Q75" s="2"/>
      <c r="R75" s="2" t="s">
        <v>24</v>
      </c>
      <c r="S75" s="2" t="str" cm="1">
        <f t="array" ref="S75">IF(Table1[[#This Row],[Progress_Percent]]="unknown","Unknown",_xlfn.IFS(Table1[[#This Row],[Progress_Percent]]&lt;=10,"Planning",Table1[[#This Row],[Progress_Percent]]&lt;100, "In Progress",Table1[[#This Row],[Progress_Percent]]=100,"Completed"))</f>
        <v>Planning</v>
      </c>
      <c r="T75" s="2" t="str">
        <f>IF(Table1[[#This Row],[Progress_Percent]]="unknown","Unknown",IF(Table1[[#This Row],[Project_Status]]="On Hold","Review",IF(Table1[[#This Row],[Project_Status]]=Table1[[#This Row],[Project_Expected_Status]],"OK","Mismatch")))</f>
        <v>OK</v>
      </c>
      <c r="U75" s="5">
        <v>45889</v>
      </c>
      <c r="V75">
        <f>Table1[[#This Row],[Actual_Duration_Days]]-Table1[[#This Row],[Planned_Duration_Days]]</f>
        <v>-13</v>
      </c>
      <c r="W75" t="str" cm="1">
        <f t="array" ref="W75">_xlfn.IFS(Table1[[#This Row],[Schedule_Variance]]&gt;0,"Behind Schedule",Table1[[#This Row],[Schedule_Variance]]&lt;0,"Ahead of Schedule",Table1[[#This Row],[Schedule_Variance]]=0,"On Schedule")</f>
        <v>Ahead of Schedule</v>
      </c>
      <c r="X75" s="26">
        <f>IF(OR(ISBLANK(Table1[[#This Row],[Actual_Cost_ZAR]])),"",Table1[[#This Row],[Actual_Cost_ZAR]]-Table1[[#This Row],[Budget_ZAR]])</f>
        <v>5746097.0999999996</v>
      </c>
      <c r="Y75" s="9" t="str">
        <f>IF(OR(Table1[[#This Row],[Cost_Variance]]="",Table1[[#This Row],[Budget_ZAR]]=""),"",Table1[[#This Row],[Cost_Variance]]/Table1[[#This Row],[Budget_ZAR]])</f>
        <v/>
      </c>
      <c r="Z75" t="str">
        <f>IF(OR(Table1[[#This Row],[Budget_ZAR]]="",Table1[[#This Row],[Actual_Cost_ZAR]]=""),"Missing Data",IF(Table1[[#This Row],[Cost_Variance]]&lt;0,"Under Budget",IF(Table1[[#This Row],[Cost_Variance]]=0,"On Budget","Over Budget")))</f>
        <v>Missing Data</v>
      </c>
      <c r="AA75" s="26">
        <f>IF(OR(ISBLANK(Table1[[#This Row],[Actual_Cost_ZAR]]),ISBLANK(Table1[[#This Row],[Budget_ZAR]])),0,Table1[[#This Row],[Actual_Cost_ZAR]]-Table1[[#This Row],[Budget_ZAR]])</f>
        <v>0</v>
      </c>
      <c r="AB75" s="9">
        <f>IF(OR(Table1[[#This Row],[Cost_Variance]]="",Table1[[#This Row],[Budget_ZAR]]=""),0,Table1[[#This Row],[Cost_Variance]]/Table1[[#This Row],[Budget_ZAR]])</f>
        <v>0</v>
      </c>
      <c r="AC75" t="str">
        <f>IF(Table1[[#This Row],[Last_Updated]] = "","Missing Date",IF(Table1[[#This Row],[Last_Updated]]=_xlfn.MAXIFS(Table1[Last_Updated],Table1[Project_ID],Table1[[#This Row],[Project_ID]]),"Latest","Older"))</f>
        <v>Older</v>
      </c>
      <c r="AD75">
        <f>COUNTIFS(Table1[Project_ID],Table1[[#This Row],[Project_ID]],Table1[Last_Updated],"&gt;0")</f>
        <v>3</v>
      </c>
      <c r="AE75">
        <f>COUNTIFS(Table1[Project_ID],Table1[[#This Row],[Project_ID]],Table1[Latest_Record_Flag],"Latest")</f>
        <v>1</v>
      </c>
      <c r="AF75" t="str">
        <f>IF(Table1[[#This Row],[Latest_Count]]&gt;1,"Potential Duplicate -Review","Unique")</f>
        <v>Unique</v>
      </c>
      <c r="AG75" t="str">
        <f>IF(Table1[[#This Row],[Latest_Record_Flag]]&lt;&gt;"Latest","",IF(Table1[[#This Row],[Latest_Count]]&gt;1,"Review - Tied Latest Date", "OK"))</f>
        <v/>
      </c>
    </row>
    <row r="76" spans="1:33" x14ac:dyDescent="0.25">
      <c r="A76" s="2" t="s">
        <v>209</v>
      </c>
      <c r="B76" s="2" t="s">
        <v>56</v>
      </c>
      <c r="C76" s="2" t="s">
        <v>93</v>
      </c>
      <c r="D76" s="2" t="s">
        <v>19</v>
      </c>
      <c r="E76" s="2" t="s">
        <v>43</v>
      </c>
      <c r="F76" s="2" t="s">
        <v>21</v>
      </c>
      <c r="G76" s="2" t="s">
        <v>76</v>
      </c>
      <c r="H76" s="2" t="s">
        <v>108</v>
      </c>
      <c r="I76" s="5">
        <v>45872</v>
      </c>
      <c r="J76" s="2">
        <v>170</v>
      </c>
      <c r="K76" s="2">
        <v>202</v>
      </c>
      <c r="L76" s="14">
        <v>4791244.6900000004</v>
      </c>
      <c r="M76" s="14" t="str">
        <f>IF(Table1[[#This Row],[Budget_ZAR]]="", "Missing", "Present")</f>
        <v>Present</v>
      </c>
      <c r="N76" s="14">
        <v>5858287.9000000004</v>
      </c>
      <c r="O76" s="14" t="str">
        <f>IF(Table1[[#This Row],[Actual_Cost_ZAR]]="","Missing","Present")</f>
        <v>Present</v>
      </c>
      <c r="P76"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76" s="2">
        <v>10</v>
      </c>
      <c r="R76" s="2" t="s">
        <v>33</v>
      </c>
      <c r="S76" s="2" t="str" cm="1">
        <f t="array" ref="S76">IF(Table1[[#This Row],[Progress_Percent]]="unknown","Unknown",_xlfn.IFS(Table1[[#This Row],[Progress_Percent]]&lt;=10,"Planning",Table1[[#This Row],[Progress_Percent]]&lt;100, "In Progress",Table1[[#This Row],[Progress_Percent]]=100,"Completed"))</f>
        <v>Planning</v>
      </c>
      <c r="T76" s="2" t="str">
        <f>IF(Table1[[#This Row],[Progress_Percent]]="unknown","Unknown",IF(Table1[[#This Row],[Project_Status]]="On Hold","Review",IF(Table1[[#This Row],[Project_Status]]=Table1[[#This Row],[Project_Expected_Status]],"OK","Mismatch")))</f>
        <v>Review</v>
      </c>
      <c r="U76" s="5">
        <v>45933</v>
      </c>
      <c r="V76">
        <f>Table1[[#This Row],[Actual_Duration_Days]]-Table1[[#This Row],[Planned_Duration_Days]]</f>
        <v>32</v>
      </c>
      <c r="W76" t="str" cm="1">
        <f t="array" ref="W76">_xlfn.IFS(Table1[[#This Row],[Schedule_Variance]]&gt;0,"Behind Schedule",Table1[[#This Row],[Schedule_Variance]]&lt;0,"Ahead of Schedule",Table1[[#This Row],[Schedule_Variance]]=0,"On Schedule")</f>
        <v>Behind Schedule</v>
      </c>
      <c r="X76" s="26">
        <f>IF(OR(ISBLANK(Table1[[#This Row],[Actual_Cost_ZAR]])),"",Table1[[#This Row],[Actual_Cost_ZAR]]-Table1[[#This Row],[Budget_ZAR]])</f>
        <v>1067043.21</v>
      </c>
      <c r="Y76" s="9">
        <f>IF(OR(Table1[[#This Row],[Cost_Variance]]="",Table1[[#This Row],[Budget_ZAR]]=""),"",Table1[[#This Row],[Cost_Variance]]/Table1[[#This Row],[Budget_ZAR]])</f>
        <v>0.22270689122329085</v>
      </c>
      <c r="Z76" t="str">
        <f>IF(OR(Table1[[#This Row],[Budget_ZAR]]="",Table1[[#This Row],[Actual_Cost_ZAR]]=""),"Missing Data",IF(Table1[[#This Row],[Cost_Variance]]&lt;0,"Under Budget",IF(Table1[[#This Row],[Cost_Variance]]=0,"On Budget","Over Budget")))</f>
        <v>Over Budget</v>
      </c>
      <c r="AA76" s="26">
        <f>IF(OR(ISBLANK(Table1[[#This Row],[Actual_Cost_ZAR]]),ISBLANK(Table1[[#This Row],[Budget_ZAR]])),0,Table1[[#This Row],[Actual_Cost_ZAR]]-Table1[[#This Row],[Budget_ZAR]])</f>
        <v>1067043.21</v>
      </c>
      <c r="AB76" s="9">
        <f>IF(OR(Table1[[#This Row],[Cost_Variance]]="",Table1[[#This Row],[Budget_ZAR]]=""),0,Table1[[#This Row],[Cost_Variance]]/Table1[[#This Row],[Budget_ZAR]])</f>
        <v>0.22270689122329085</v>
      </c>
      <c r="AC76" t="str">
        <f>IF(Table1[[#This Row],[Last_Updated]] = "","Missing Date",IF(Table1[[#This Row],[Last_Updated]]=_xlfn.MAXIFS(Table1[Last_Updated],Table1[Project_ID],Table1[[#This Row],[Project_ID]]),"Latest","Older"))</f>
        <v>Older</v>
      </c>
      <c r="AD76">
        <f>COUNTIFS(Table1[Project_ID],Table1[[#This Row],[Project_ID]],Table1[Last_Updated],"&gt;0")</f>
        <v>7</v>
      </c>
      <c r="AE76">
        <f>COUNTIFS(Table1[Project_ID],Table1[[#This Row],[Project_ID]],Table1[Latest_Record_Flag],"Latest")</f>
        <v>1</v>
      </c>
      <c r="AF76" t="str">
        <f>IF(Table1[[#This Row],[Latest_Count]]&gt;1,"Potential Duplicate -Review","Unique")</f>
        <v>Unique</v>
      </c>
      <c r="AG76" t="str">
        <f>IF(Table1[[#This Row],[Latest_Record_Flag]]&lt;&gt;"Latest","",IF(Table1[[#This Row],[Latest_Count]]&gt;1,"Review - Tied Latest Date", "OK"))</f>
        <v/>
      </c>
    </row>
    <row r="77" spans="1:33" x14ac:dyDescent="0.25">
      <c r="A77" s="2" t="s">
        <v>211</v>
      </c>
      <c r="B77" s="2" t="s">
        <v>41</v>
      </c>
      <c r="C77" s="2" t="s">
        <v>132</v>
      </c>
      <c r="D77" s="2" t="s">
        <v>19</v>
      </c>
      <c r="E77" s="2" t="s">
        <v>29</v>
      </c>
      <c r="F77" s="2" t="s">
        <v>59</v>
      </c>
      <c r="G77" s="2" t="s">
        <v>22</v>
      </c>
      <c r="H77" s="2" t="s">
        <v>38</v>
      </c>
      <c r="I77" s="5">
        <v>45708</v>
      </c>
      <c r="J77" s="2">
        <v>114</v>
      </c>
      <c r="K77" s="2">
        <v>133</v>
      </c>
      <c r="L77" s="14">
        <v>5885601.3300000001</v>
      </c>
      <c r="M77" s="14" t="str">
        <f>IF(Table1[[#This Row],[Budget_ZAR]]="", "Missing", "Present")</f>
        <v>Present</v>
      </c>
      <c r="N77" s="14">
        <v>6488365.7999999998</v>
      </c>
      <c r="O77" s="14" t="str">
        <f>IF(Table1[[#This Row],[Actual_Cost_ZAR]]="","Missing","Present")</f>
        <v>Present</v>
      </c>
      <c r="P77"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77" s="2">
        <v>0</v>
      </c>
      <c r="R77" s="2" t="s">
        <v>33</v>
      </c>
      <c r="S77" s="2" t="str" cm="1">
        <f t="array" ref="S77">IF(Table1[[#This Row],[Progress_Percent]]="unknown","Unknown",_xlfn.IFS(Table1[[#This Row],[Progress_Percent]]&lt;=10,"Planning",Table1[[#This Row],[Progress_Percent]]&lt;100, "In Progress",Table1[[#This Row],[Progress_Percent]]=100,"Completed"))</f>
        <v>Planning</v>
      </c>
      <c r="T77" s="2" t="str">
        <f>IF(Table1[[#This Row],[Progress_Percent]]="unknown","Unknown",IF(Table1[[#This Row],[Project_Status]]="On Hold","Review",IF(Table1[[#This Row],[Project_Status]]=Table1[[#This Row],[Project_Expected_Status]],"OK","Mismatch")))</f>
        <v>Review</v>
      </c>
      <c r="U77" s="5">
        <v>45872</v>
      </c>
      <c r="V77">
        <f>Table1[[#This Row],[Actual_Duration_Days]]-Table1[[#This Row],[Planned_Duration_Days]]</f>
        <v>19</v>
      </c>
      <c r="W77" t="str" cm="1">
        <f t="array" ref="W77">_xlfn.IFS(Table1[[#This Row],[Schedule_Variance]]&gt;0,"Behind Schedule",Table1[[#This Row],[Schedule_Variance]]&lt;0,"Ahead of Schedule",Table1[[#This Row],[Schedule_Variance]]=0,"On Schedule")</f>
        <v>Behind Schedule</v>
      </c>
      <c r="X77" s="26">
        <f>IF(OR(ISBLANK(Table1[[#This Row],[Actual_Cost_ZAR]])),"",Table1[[#This Row],[Actual_Cost_ZAR]]-Table1[[#This Row],[Budget_ZAR]])</f>
        <v>602764.46999999974</v>
      </c>
      <c r="Y77" s="9">
        <f>IF(OR(Table1[[#This Row],[Cost_Variance]]="",Table1[[#This Row],[Budget_ZAR]]=""),"",Table1[[#This Row],[Cost_Variance]]/Table1[[#This Row],[Budget_ZAR]])</f>
        <v>0.10241340454502033</v>
      </c>
      <c r="Z77" t="str">
        <f>IF(OR(Table1[[#This Row],[Budget_ZAR]]="",Table1[[#This Row],[Actual_Cost_ZAR]]=""),"Missing Data",IF(Table1[[#This Row],[Cost_Variance]]&lt;0,"Under Budget",IF(Table1[[#This Row],[Cost_Variance]]=0,"On Budget","Over Budget")))</f>
        <v>Over Budget</v>
      </c>
      <c r="AA77" s="26">
        <f>IF(OR(ISBLANK(Table1[[#This Row],[Actual_Cost_ZAR]]),ISBLANK(Table1[[#This Row],[Budget_ZAR]])),0,Table1[[#This Row],[Actual_Cost_ZAR]]-Table1[[#This Row],[Budget_ZAR]])</f>
        <v>602764.46999999974</v>
      </c>
      <c r="AB77" s="9">
        <f>IF(OR(Table1[[#This Row],[Cost_Variance]]="",Table1[[#This Row],[Budget_ZAR]]=""),0,Table1[[#This Row],[Cost_Variance]]/Table1[[#This Row],[Budget_ZAR]])</f>
        <v>0.10241340454502033</v>
      </c>
      <c r="AC77" t="str">
        <f>IF(Table1[[#This Row],[Last_Updated]] = "","Missing Date",IF(Table1[[#This Row],[Last_Updated]]=_xlfn.MAXIFS(Table1[Last_Updated],Table1[Project_ID],Table1[[#This Row],[Project_ID]]),"Latest","Older"))</f>
        <v>Older</v>
      </c>
      <c r="AD77">
        <f>COUNTIFS(Table1[Project_ID],Table1[[#This Row],[Project_ID]],Table1[Last_Updated],"&gt;0")</f>
        <v>4</v>
      </c>
      <c r="AE77">
        <f>COUNTIFS(Table1[Project_ID],Table1[[#This Row],[Project_ID]],Table1[Latest_Record_Flag],"Latest")</f>
        <v>1</v>
      </c>
      <c r="AF77" t="str">
        <f>IF(Table1[[#This Row],[Latest_Count]]&gt;1,"Potential Duplicate -Review","Unique")</f>
        <v>Unique</v>
      </c>
      <c r="AG77" t="str">
        <f>IF(Table1[[#This Row],[Latest_Record_Flag]]&lt;&gt;"Latest","",IF(Table1[[#This Row],[Latest_Count]]&gt;1,"Review - Tied Latest Date", "OK"))</f>
        <v/>
      </c>
    </row>
    <row r="78" spans="1:33" x14ac:dyDescent="0.25">
      <c r="A78" s="2" t="s">
        <v>212</v>
      </c>
      <c r="B78" s="2" t="s">
        <v>200</v>
      </c>
      <c r="C78" s="2" t="s">
        <v>79</v>
      </c>
      <c r="D78" s="2" t="s">
        <v>28</v>
      </c>
      <c r="E78" s="2" t="s">
        <v>43</v>
      </c>
      <c r="F78" s="2" t="s">
        <v>21</v>
      </c>
      <c r="G78" s="2" t="s">
        <v>95</v>
      </c>
      <c r="H78" s="2" t="s">
        <v>61</v>
      </c>
      <c r="I78" s="5">
        <v>45668</v>
      </c>
      <c r="J78" s="2">
        <v>32</v>
      </c>
      <c r="K78" s="2">
        <v>67</v>
      </c>
      <c r="L78" s="14"/>
      <c r="M78" s="14" t="str">
        <f>IF(Table1[[#This Row],[Budget_ZAR]]="", "Missing", "Present")</f>
        <v>Missing</v>
      </c>
      <c r="N78" s="14">
        <v>2975024.83</v>
      </c>
      <c r="O78" s="14" t="str">
        <f>IF(Table1[[#This Row],[Actual_Cost_ZAR]]="","Missing","Present")</f>
        <v>Present</v>
      </c>
      <c r="P78"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Budget Missing</v>
      </c>
      <c r="Q78" s="2">
        <v>40</v>
      </c>
      <c r="R78" s="2" t="s">
        <v>24</v>
      </c>
      <c r="S78" s="2" t="str" cm="1">
        <f t="array" ref="S78">IF(Table1[[#This Row],[Progress_Percent]]="unknown","Unknown",_xlfn.IFS(Table1[[#This Row],[Progress_Percent]]&lt;=10,"Planning",Table1[[#This Row],[Progress_Percent]]&lt;100, "In Progress",Table1[[#This Row],[Progress_Percent]]=100,"Completed"))</f>
        <v>In Progress</v>
      </c>
      <c r="T78" s="2" t="str">
        <f>IF(Table1[[#This Row],[Progress_Percent]]="unknown","Unknown",IF(Table1[[#This Row],[Project_Status]]="On Hold","Review",IF(Table1[[#This Row],[Project_Status]]=Table1[[#This Row],[Project_Expected_Status]],"OK","Mismatch")))</f>
        <v>Mismatch</v>
      </c>
      <c r="U78" s="5">
        <v>45739</v>
      </c>
      <c r="V78">
        <f>Table1[[#This Row],[Actual_Duration_Days]]-Table1[[#This Row],[Planned_Duration_Days]]</f>
        <v>35</v>
      </c>
      <c r="W78" t="str" cm="1">
        <f t="array" ref="W78">_xlfn.IFS(Table1[[#This Row],[Schedule_Variance]]&gt;0,"Behind Schedule",Table1[[#This Row],[Schedule_Variance]]&lt;0,"Ahead of Schedule",Table1[[#This Row],[Schedule_Variance]]=0,"On Schedule")</f>
        <v>Behind Schedule</v>
      </c>
      <c r="X78" s="26">
        <f>IF(OR(ISBLANK(Table1[[#This Row],[Actual_Cost_ZAR]])),"",Table1[[#This Row],[Actual_Cost_ZAR]]-Table1[[#This Row],[Budget_ZAR]])</f>
        <v>2975024.83</v>
      </c>
      <c r="Y78" s="9" t="str">
        <f>IF(OR(Table1[[#This Row],[Cost_Variance]]="",Table1[[#This Row],[Budget_ZAR]]=""),"",Table1[[#This Row],[Cost_Variance]]/Table1[[#This Row],[Budget_ZAR]])</f>
        <v/>
      </c>
      <c r="Z78" t="str">
        <f>IF(OR(Table1[[#This Row],[Budget_ZAR]]="",Table1[[#This Row],[Actual_Cost_ZAR]]=""),"Missing Data",IF(Table1[[#This Row],[Cost_Variance]]&lt;0,"Under Budget",IF(Table1[[#This Row],[Cost_Variance]]=0,"On Budget","Over Budget")))</f>
        <v>Missing Data</v>
      </c>
      <c r="AA78" s="26">
        <f>IF(OR(ISBLANK(Table1[[#This Row],[Actual_Cost_ZAR]]),ISBLANK(Table1[[#This Row],[Budget_ZAR]])),0,Table1[[#This Row],[Actual_Cost_ZAR]]-Table1[[#This Row],[Budget_ZAR]])</f>
        <v>0</v>
      </c>
      <c r="AB78" s="9">
        <f>IF(OR(Table1[[#This Row],[Cost_Variance]]="",Table1[[#This Row],[Budget_ZAR]]=""),0,Table1[[#This Row],[Cost_Variance]]/Table1[[#This Row],[Budget_ZAR]])</f>
        <v>0</v>
      </c>
      <c r="AC78" t="str">
        <f>IF(Table1[[#This Row],[Last_Updated]] = "","Missing Date",IF(Table1[[#This Row],[Last_Updated]]=_xlfn.MAXIFS(Table1[Last_Updated],Table1[Project_ID],Table1[[#This Row],[Project_ID]]),"Latest","Older"))</f>
        <v>Older</v>
      </c>
      <c r="AD78">
        <f>COUNTIFS(Table1[Project_ID],Table1[[#This Row],[Project_ID]],Table1[Last_Updated],"&gt;0")</f>
        <v>4</v>
      </c>
      <c r="AE78">
        <f>COUNTIFS(Table1[Project_ID],Table1[[#This Row],[Project_ID]],Table1[Latest_Record_Flag],"Latest")</f>
        <v>1</v>
      </c>
      <c r="AF78" t="str">
        <f>IF(Table1[[#This Row],[Latest_Count]]&gt;1,"Potential Duplicate -Review","Unique")</f>
        <v>Unique</v>
      </c>
      <c r="AG78" t="str">
        <f>IF(Table1[[#This Row],[Latest_Record_Flag]]&lt;&gt;"Latest","",IF(Table1[[#This Row],[Latest_Count]]&gt;1,"Review - Tied Latest Date", "OK"))</f>
        <v/>
      </c>
    </row>
    <row r="79" spans="1:33" x14ac:dyDescent="0.25">
      <c r="A79" s="2" t="s">
        <v>213</v>
      </c>
      <c r="B79" s="2" t="s">
        <v>88</v>
      </c>
      <c r="C79" s="2" t="s">
        <v>206</v>
      </c>
      <c r="D79" s="2" t="s">
        <v>28</v>
      </c>
      <c r="E79" s="2" t="s">
        <v>68</v>
      </c>
      <c r="F79" s="2" t="s">
        <v>265</v>
      </c>
      <c r="G79" s="2" t="s">
        <v>60</v>
      </c>
      <c r="H79" s="2" t="s">
        <v>32</v>
      </c>
      <c r="I79" s="5">
        <v>45724</v>
      </c>
      <c r="J79" s="2">
        <v>158</v>
      </c>
      <c r="K79" s="2">
        <v>159</v>
      </c>
      <c r="L79" s="14">
        <v>5240711.4000000004</v>
      </c>
      <c r="M79" s="14" t="str">
        <f>IF(Table1[[#This Row],[Budget_ZAR]]="", "Missing", "Present")</f>
        <v>Present</v>
      </c>
      <c r="N79" s="14">
        <v>4375801.0199999996</v>
      </c>
      <c r="O79" s="14" t="str">
        <f>IF(Table1[[#This Row],[Actual_Cost_ZAR]]="","Missing","Present")</f>
        <v>Present</v>
      </c>
      <c r="P79"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79" s="2">
        <v>0</v>
      </c>
      <c r="R79" s="2" t="s">
        <v>49</v>
      </c>
      <c r="S79" s="2" t="str" cm="1">
        <f t="array" ref="S79">IF(Table1[[#This Row],[Progress_Percent]]="unknown","Unknown",_xlfn.IFS(Table1[[#This Row],[Progress_Percent]]&lt;=10,"Planning",Table1[[#This Row],[Progress_Percent]]&lt;100, "In Progress",Table1[[#This Row],[Progress_Percent]]=100,"Completed"))</f>
        <v>Planning</v>
      </c>
      <c r="T79" s="2" t="str">
        <f>IF(Table1[[#This Row],[Progress_Percent]]="unknown","Unknown",IF(Table1[[#This Row],[Project_Status]]="On Hold","Review",IF(Table1[[#This Row],[Project_Status]]=Table1[[#This Row],[Project_Expected_Status]],"OK","Mismatch")))</f>
        <v>Mismatch</v>
      </c>
      <c r="U79" s="5">
        <v>45792</v>
      </c>
      <c r="V79">
        <f>Table1[[#This Row],[Actual_Duration_Days]]-Table1[[#This Row],[Planned_Duration_Days]]</f>
        <v>1</v>
      </c>
      <c r="W79" t="str" cm="1">
        <f t="array" ref="W79">_xlfn.IFS(Table1[[#This Row],[Schedule_Variance]]&gt;0,"Behind Schedule",Table1[[#This Row],[Schedule_Variance]]&lt;0,"Ahead of Schedule",Table1[[#This Row],[Schedule_Variance]]=0,"On Schedule")</f>
        <v>Behind Schedule</v>
      </c>
      <c r="X79" s="26">
        <f>IF(OR(ISBLANK(Table1[[#This Row],[Actual_Cost_ZAR]])),"",Table1[[#This Row],[Actual_Cost_ZAR]]-Table1[[#This Row],[Budget_ZAR]])</f>
        <v>-864910.38000000082</v>
      </c>
      <c r="Y79" s="9">
        <f>IF(OR(Table1[[#This Row],[Cost_Variance]]="",Table1[[#This Row],[Budget_ZAR]]=""),"",Table1[[#This Row],[Cost_Variance]]/Table1[[#This Row],[Budget_ZAR]])</f>
        <v>-0.16503682687048951</v>
      </c>
      <c r="Z79" t="str">
        <f>IF(OR(Table1[[#This Row],[Budget_ZAR]]="",Table1[[#This Row],[Actual_Cost_ZAR]]=""),"Missing Data",IF(Table1[[#This Row],[Cost_Variance]]&lt;0,"Under Budget",IF(Table1[[#This Row],[Cost_Variance]]=0,"On Budget","Over Budget")))</f>
        <v>Under Budget</v>
      </c>
      <c r="AA79" s="26">
        <f>IF(OR(ISBLANK(Table1[[#This Row],[Actual_Cost_ZAR]]),ISBLANK(Table1[[#This Row],[Budget_ZAR]])),0,Table1[[#This Row],[Actual_Cost_ZAR]]-Table1[[#This Row],[Budget_ZAR]])</f>
        <v>-864910.38000000082</v>
      </c>
      <c r="AB79" s="9">
        <f>IF(OR(Table1[[#This Row],[Cost_Variance]]="",Table1[[#This Row],[Budget_ZAR]]=""),0,Table1[[#This Row],[Cost_Variance]]/Table1[[#This Row],[Budget_ZAR]])</f>
        <v>-0.16503682687048951</v>
      </c>
      <c r="AC79" t="str">
        <f>IF(Table1[[#This Row],[Last_Updated]] = "","Missing Date",IF(Table1[[#This Row],[Last_Updated]]=_xlfn.MAXIFS(Table1[Last_Updated],Table1[Project_ID],Table1[[#This Row],[Project_ID]]),"Latest","Older"))</f>
        <v>Older</v>
      </c>
      <c r="AD79">
        <f>COUNTIFS(Table1[Project_ID],Table1[[#This Row],[Project_ID]],Table1[Last_Updated],"&gt;0")</f>
        <v>7</v>
      </c>
      <c r="AE79">
        <f>COUNTIFS(Table1[Project_ID],Table1[[#This Row],[Project_ID]],Table1[Latest_Record_Flag],"Latest")</f>
        <v>1</v>
      </c>
      <c r="AF79" t="str">
        <f>IF(Table1[[#This Row],[Latest_Count]]&gt;1,"Potential Duplicate -Review","Unique")</f>
        <v>Unique</v>
      </c>
      <c r="AG79" t="str">
        <f>IF(Table1[[#This Row],[Latest_Record_Flag]]&lt;&gt;"Latest","",IF(Table1[[#This Row],[Latest_Count]]&gt;1,"Review - Tied Latest Date", "OK"))</f>
        <v/>
      </c>
    </row>
    <row r="80" spans="1:33" x14ac:dyDescent="0.25">
      <c r="A80" s="2" t="s">
        <v>214</v>
      </c>
      <c r="B80" s="2" t="s">
        <v>51</v>
      </c>
      <c r="C80" s="2" t="s">
        <v>215</v>
      </c>
      <c r="D80" s="2" t="s">
        <v>58</v>
      </c>
      <c r="E80" s="2" t="s">
        <v>85</v>
      </c>
      <c r="F80" s="2" t="s">
        <v>48</v>
      </c>
      <c r="G80" s="2" t="s">
        <v>60</v>
      </c>
      <c r="H80" s="2" t="s">
        <v>38</v>
      </c>
      <c r="I80" s="5">
        <v>45722</v>
      </c>
      <c r="J80" s="2">
        <v>127</v>
      </c>
      <c r="K80" s="2">
        <v>145</v>
      </c>
      <c r="L80" s="14">
        <v>960308.17</v>
      </c>
      <c r="M80" s="14" t="str">
        <f>IF(Table1[[#This Row],[Budget_ZAR]]="", "Missing", "Present")</f>
        <v>Present</v>
      </c>
      <c r="N80" s="14"/>
      <c r="O80" s="14" t="str">
        <f>IF(Table1[[#This Row],[Actual_Cost_ZAR]]="","Missing","Present")</f>
        <v>Missing</v>
      </c>
      <c r="P80"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Actual Cost Missing</v>
      </c>
      <c r="Q80" s="2">
        <v>100</v>
      </c>
      <c r="R80" s="2" t="s">
        <v>54</v>
      </c>
      <c r="S80" s="2" t="str" cm="1">
        <f t="array" ref="S80">IF(Table1[[#This Row],[Progress_Percent]]="unknown","Unknown",_xlfn.IFS(Table1[[#This Row],[Progress_Percent]]&lt;=10,"Planning",Table1[[#This Row],[Progress_Percent]]&lt;100, "In Progress",Table1[[#This Row],[Progress_Percent]]=100,"Completed"))</f>
        <v>Completed</v>
      </c>
      <c r="T80" s="2" t="str">
        <f>IF(Table1[[#This Row],[Progress_Percent]]="unknown","Unknown",IF(Table1[[#This Row],[Project_Status]]="On Hold","Review",IF(Table1[[#This Row],[Project_Status]]=Table1[[#This Row],[Project_Expected_Status]],"OK","Mismatch")))</f>
        <v>OK</v>
      </c>
      <c r="U80" s="5">
        <v>45891</v>
      </c>
      <c r="V80">
        <f>Table1[[#This Row],[Actual_Duration_Days]]-Table1[[#This Row],[Planned_Duration_Days]]</f>
        <v>18</v>
      </c>
      <c r="W80" t="str" cm="1">
        <f t="array" ref="W80">_xlfn.IFS(Table1[[#This Row],[Schedule_Variance]]&gt;0,"Behind Schedule",Table1[[#This Row],[Schedule_Variance]]&lt;0,"Ahead of Schedule",Table1[[#This Row],[Schedule_Variance]]=0,"On Schedule")</f>
        <v>Behind Schedule</v>
      </c>
      <c r="X80" s="26" t="str">
        <f>IF(OR(ISBLANK(Table1[[#This Row],[Actual_Cost_ZAR]])),"",Table1[[#This Row],[Actual_Cost_ZAR]]-Table1[[#This Row],[Budget_ZAR]])</f>
        <v/>
      </c>
      <c r="Y80" s="9" t="str">
        <f>IF(OR(Table1[[#This Row],[Cost_Variance]]="",Table1[[#This Row],[Budget_ZAR]]=""),"",Table1[[#This Row],[Cost_Variance]]/Table1[[#This Row],[Budget_ZAR]])</f>
        <v/>
      </c>
      <c r="Z80" t="str">
        <f>IF(OR(Table1[[#This Row],[Budget_ZAR]]="",Table1[[#This Row],[Actual_Cost_ZAR]]=""),"Missing Data",IF(Table1[[#This Row],[Cost_Variance]]&lt;0,"Under Budget",IF(Table1[[#This Row],[Cost_Variance]]=0,"On Budget","Over Budget")))</f>
        <v>Missing Data</v>
      </c>
      <c r="AA80" s="26">
        <f>IF(OR(ISBLANK(Table1[[#This Row],[Actual_Cost_ZAR]]),ISBLANK(Table1[[#This Row],[Budget_ZAR]])),0,Table1[[#This Row],[Actual_Cost_ZAR]]-Table1[[#This Row],[Budget_ZAR]])</f>
        <v>0</v>
      </c>
      <c r="AB80" s="9">
        <f>IF(OR(Table1[[#This Row],[Cost_Variance]]="",Table1[[#This Row],[Budget_ZAR]]=""),0,Table1[[#This Row],[Cost_Variance]]/Table1[[#This Row],[Budget_ZAR]])</f>
        <v>0</v>
      </c>
      <c r="AC80" t="str">
        <f>IF(Table1[[#This Row],[Last_Updated]] = "","Missing Date",IF(Table1[[#This Row],[Last_Updated]]=_xlfn.MAXIFS(Table1[Last_Updated],Table1[Project_ID],Table1[[#This Row],[Project_ID]]),"Latest","Older"))</f>
        <v>Older</v>
      </c>
      <c r="AD80">
        <f>COUNTIFS(Table1[Project_ID],Table1[[#This Row],[Project_ID]],Table1[Last_Updated],"&gt;0")</f>
        <v>4</v>
      </c>
      <c r="AE80">
        <f>COUNTIFS(Table1[Project_ID],Table1[[#This Row],[Project_ID]],Table1[Latest_Record_Flag],"Latest")</f>
        <v>1</v>
      </c>
      <c r="AF80" t="str">
        <f>IF(Table1[[#This Row],[Latest_Count]]&gt;1,"Potential Duplicate -Review","Unique")</f>
        <v>Unique</v>
      </c>
      <c r="AG80" t="str">
        <f>IF(Table1[[#This Row],[Latest_Record_Flag]]&lt;&gt;"Latest","",IF(Table1[[#This Row],[Latest_Count]]&gt;1,"Review - Tied Latest Date", "OK"))</f>
        <v/>
      </c>
    </row>
    <row r="81" spans="1:33" x14ac:dyDescent="0.25">
      <c r="A81" s="2" t="s">
        <v>216</v>
      </c>
      <c r="B81" s="2" t="s">
        <v>126</v>
      </c>
      <c r="C81" s="2" t="s">
        <v>217</v>
      </c>
      <c r="D81" s="2" t="s">
        <v>37</v>
      </c>
      <c r="E81" s="2" t="s">
        <v>29</v>
      </c>
      <c r="F81" s="2" t="s">
        <v>59</v>
      </c>
      <c r="G81" s="2" t="s">
        <v>60</v>
      </c>
      <c r="H81" s="2" t="s">
        <v>65</v>
      </c>
      <c r="I81" s="5">
        <v>45812</v>
      </c>
      <c r="J81" s="2">
        <v>137</v>
      </c>
      <c r="K81" s="2">
        <v>163</v>
      </c>
      <c r="L81" s="14">
        <v>6275163.6399999997</v>
      </c>
      <c r="M81" s="14" t="str">
        <f>IF(Table1[[#This Row],[Budget_ZAR]]="", "Missing", "Present")</f>
        <v>Present</v>
      </c>
      <c r="N81" s="14">
        <v>5085472.33</v>
      </c>
      <c r="O81" s="14" t="str">
        <f>IF(Table1[[#This Row],[Actual_Cost_ZAR]]="","Missing","Present")</f>
        <v>Present</v>
      </c>
      <c r="P81"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81" s="2">
        <v>100</v>
      </c>
      <c r="R81" s="2" t="s">
        <v>33</v>
      </c>
      <c r="S81" s="2" t="str" cm="1">
        <f t="array" ref="S81">IF(Table1[[#This Row],[Progress_Percent]]="unknown","Unknown",_xlfn.IFS(Table1[[#This Row],[Progress_Percent]]&lt;=10,"Planning",Table1[[#This Row],[Progress_Percent]]&lt;100, "In Progress",Table1[[#This Row],[Progress_Percent]]=100,"Completed"))</f>
        <v>Completed</v>
      </c>
      <c r="T81" s="2" t="str">
        <f>IF(Table1[[#This Row],[Progress_Percent]]="unknown","Unknown",IF(Table1[[#This Row],[Project_Status]]="On Hold","Review",IF(Table1[[#This Row],[Project_Status]]=Table1[[#This Row],[Project_Expected_Status]],"OK","Mismatch")))</f>
        <v>Review</v>
      </c>
      <c r="U81" s="5">
        <v>45968</v>
      </c>
      <c r="V81">
        <f>Table1[[#This Row],[Actual_Duration_Days]]-Table1[[#This Row],[Planned_Duration_Days]]</f>
        <v>26</v>
      </c>
      <c r="W81" t="str" cm="1">
        <f t="array" ref="W81">_xlfn.IFS(Table1[[#This Row],[Schedule_Variance]]&gt;0,"Behind Schedule",Table1[[#This Row],[Schedule_Variance]]&lt;0,"Ahead of Schedule",Table1[[#This Row],[Schedule_Variance]]=0,"On Schedule")</f>
        <v>Behind Schedule</v>
      </c>
      <c r="X81" s="26">
        <f>IF(OR(ISBLANK(Table1[[#This Row],[Actual_Cost_ZAR]])),"",Table1[[#This Row],[Actual_Cost_ZAR]]-Table1[[#This Row],[Budget_ZAR]])</f>
        <v>-1189691.3099999996</v>
      </c>
      <c r="Y81" s="9">
        <f>IF(OR(Table1[[#This Row],[Cost_Variance]]="",Table1[[#This Row],[Budget_ZAR]]=""),"",Table1[[#This Row],[Cost_Variance]]/Table1[[#This Row],[Budget_ZAR]])</f>
        <v>-0.18958729656331316</v>
      </c>
      <c r="Z81" t="str">
        <f>IF(OR(Table1[[#This Row],[Budget_ZAR]]="",Table1[[#This Row],[Actual_Cost_ZAR]]=""),"Missing Data",IF(Table1[[#This Row],[Cost_Variance]]&lt;0,"Under Budget",IF(Table1[[#This Row],[Cost_Variance]]=0,"On Budget","Over Budget")))</f>
        <v>Under Budget</v>
      </c>
      <c r="AA81" s="26">
        <f>IF(OR(ISBLANK(Table1[[#This Row],[Actual_Cost_ZAR]]),ISBLANK(Table1[[#This Row],[Budget_ZAR]])),0,Table1[[#This Row],[Actual_Cost_ZAR]]-Table1[[#This Row],[Budget_ZAR]])</f>
        <v>-1189691.3099999996</v>
      </c>
      <c r="AB81" s="9">
        <f>IF(OR(Table1[[#This Row],[Cost_Variance]]="",Table1[[#This Row],[Budget_ZAR]]=""),0,Table1[[#This Row],[Cost_Variance]]/Table1[[#This Row],[Budget_ZAR]])</f>
        <v>-0.18958729656331316</v>
      </c>
      <c r="AC81" t="str">
        <f>IF(Table1[[#This Row],[Last_Updated]] = "","Missing Date",IF(Table1[[#This Row],[Last_Updated]]=_xlfn.MAXIFS(Table1[Last_Updated],Table1[Project_ID],Table1[[#This Row],[Project_ID]]),"Latest","Older"))</f>
        <v>Older</v>
      </c>
      <c r="AD81">
        <f>COUNTIFS(Table1[Project_ID],Table1[[#This Row],[Project_ID]],Table1[Last_Updated],"&gt;0")</f>
        <v>5</v>
      </c>
      <c r="AE81">
        <f>COUNTIFS(Table1[Project_ID],Table1[[#This Row],[Project_ID]],Table1[Latest_Record_Flag],"Latest")</f>
        <v>1</v>
      </c>
      <c r="AF81" t="str">
        <f>IF(Table1[[#This Row],[Latest_Count]]&gt;1,"Potential Duplicate -Review","Unique")</f>
        <v>Unique</v>
      </c>
      <c r="AG81" t="str">
        <f>IF(Table1[[#This Row],[Latest_Record_Flag]]&lt;&gt;"Latest","",IF(Table1[[#This Row],[Latest_Count]]&gt;1,"Review - Tied Latest Date", "OK"))</f>
        <v/>
      </c>
    </row>
    <row r="82" spans="1:33" x14ac:dyDescent="0.25">
      <c r="A82" s="2" t="s">
        <v>218</v>
      </c>
      <c r="B82" s="2" t="s">
        <v>88</v>
      </c>
      <c r="C82" s="2" t="s">
        <v>197</v>
      </c>
      <c r="D82" s="2" t="s">
        <v>58</v>
      </c>
      <c r="E82" s="2" t="s">
        <v>68</v>
      </c>
      <c r="F82" s="2" t="s">
        <v>44</v>
      </c>
      <c r="G82" s="2" t="s">
        <v>60</v>
      </c>
      <c r="H82" s="2" t="s">
        <v>38</v>
      </c>
      <c r="I82" s="5">
        <v>45691</v>
      </c>
      <c r="J82" s="2">
        <v>52</v>
      </c>
      <c r="K82" s="2">
        <v>54</v>
      </c>
      <c r="L82" s="14"/>
      <c r="M82" s="14" t="str">
        <f>IF(Table1[[#This Row],[Budget_ZAR]]="", "Missing", "Present")</f>
        <v>Missing</v>
      </c>
      <c r="N82" s="14">
        <v>4453760.3</v>
      </c>
      <c r="O82" s="14" t="str">
        <f>IF(Table1[[#This Row],[Actual_Cost_ZAR]]="","Missing","Present")</f>
        <v>Present</v>
      </c>
      <c r="P82"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Budget Missing</v>
      </c>
      <c r="Q82" s="2">
        <v>70</v>
      </c>
      <c r="R82" s="2" t="s">
        <v>33</v>
      </c>
      <c r="S82" s="2" t="str" cm="1">
        <f t="array" ref="S82">IF(Table1[[#This Row],[Progress_Percent]]="unknown","Unknown",_xlfn.IFS(Table1[[#This Row],[Progress_Percent]]&lt;=10,"Planning",Table1[[#This Row],[Progress_Percent]]&lt;100, "In Progress",Table1[[#This Row],[Progress_Percent]]=100,"Completed"))</f>
        <v>In Progress</v>
      </c>
      <c r="T82" s="2" t="str">
        <f>IF(Table1[[#This Row],[Progress_Percent]]="unknown","Unknown",IF(Table1[[#This Row],[Project_Status]]="On Hold","Review",IF(Table1[[#This Row],[Project_Status]]=Table1[[#This Row],[Project_Expected_Status]],"OK","Mismatch")))</f>
        <v>Review</v>
      </c>
      <c r="U82" s="5">
        <v>45721</v>
      </c>
      <c r="V82">
        <f>Table1[[#This Row],[Actual_Duration_Days]]-Table1[[#This Row],[Planned_Duration_Days]]</f>
        <v>2</v>
      </c>
      <c r="W82" t="str" cm="1">
        <f t="array" ref="W82">_xlfn.IFS(Table1[[#This Row],[Schedule_Variance]]&gt;0,"Behind Schedule",Table1[[#This Row],[Schedule_Variance]]&lt;0,"Ahead of Schedule",Table1[[#This Row],[Schedule_Variance]]=0,"On Schedule")</f>
        <v>Behind Schedule</v>
      </c>
      <c r="X82" s="26">
        <f>IF(OR(ISBLANK(Table1[[#This Row],[Actual_Cost_ZAR]])),"",Table1[[#This Row],[Actual_Cost_ZAR]]-Table1[[#This Row],[Budget_ZAR]])</f>
        <v>4453760.3</v>
      </c>
      <c r="Y82" s="9" t="str">
        <f>IF(OR(Table1[[#This Row],[Cost_Variance]]="",Table1[[#This Row],[Budget_ZAR]]=""),"",Table1[[#This Row],[Cost_Variance]]/Table1[[#This Row],[Budget_ZAR]])</f>
        <v/>
      </c>
      <c r="Z82" t="str">
        <f>IF(OR(Table1[[#This Row],[Budget_ZAR]]="",Table1[[#This Row],[Actual_Cost_ZAR]]=""),"Missing Data",IF(Table1[[#This Row],[Cost_Variance]]&lt;0,"Under Budget",IF(Table1[[#This Row],[Cost_Variance]]=0,"On Budget","Over Budget")))</f>
        <v>Missing Data</v>
      </c>
      <c r="AA82" s="26">
        <f>IF(OR(ISBLANK(Table1[[#This Row],[Actual_Cost_ZAR]]),ISBLANK(Table1[[#This Row],[Budget_ZAR]])),0,Table1[[#This Row],[Actual_Cost_ZAR]]-Table1[[#This Row],[Budget_ZAR]])</f>
        <v>0</v>
      </c>
      <c r="AB82" s="9">
        <f>IF(OR(Table1[[#This Row],[Cost_Variance]]="",Table1[[#This Row],[Budget_ZAR]]=""),0,Table1[[#This Row],[Cost_Variance]]/Table1[[#This Row],[Budget_ZAR]])</f>
        <v>0</v>
      </c>
      <c r="AC82" t="str">
        <f>IF(Table1[[#This Row],[Last_Updated]] = "","Missing Date",IF(Table1[[#This Row],[Last_Updated]]=_xlfn.MAXIFS(Table1[Last_Updated],Table1[Project_ID],Table1[[#This Row],[Project_ID]]),"Latest","Older"))</f>
        <v>Older</v>
      </c>
      <c r="AD82">
        <f>COUNTIFS(Table1[Project_ID],Table1[[#This Row],[Project_ID]],Table1[Last_Updated],"&gt;0")</f>
        <v>7</v>
      </c>
      <c r="AE82">
        <f>COUNTIFS(Table1[Project_ID],Table1[[#This Row],[Project_ID]],Table1[Latest_Record_Flag],"Latest")</f>
        <v>1</v>
      </c>
      <c r="AF82" t="str">
        <f>IF(Table1[[#This Row],[Latest_Count]]&gt;1,"Potential Duplicate -Review","Unique")</f>
        <v>Unique</v>
      </c>
      <c r="AG82" t="str">
        <f>IF(Table1[[#This Row],[Latest_Record_Flag]]&lt;&gt;"Latest","",IF(Table1[[#This Row],[Latest_Count]]&gt;1,"Review - Tied Latest Date", "OK"))</f>
        <v/>
      </c>
    </row>
    <row r="83" spans="1:33" x14ac:dyDescent="0.25">
      <c r="A83" s="2" t="s">
        <v>220</v>
      </c>
      <c r="B83" s="2" t="s">
        <v>56</v>
      </c>
      <c r="C83" s="2" t="s">
        <v>217</v>
      </c>
      <c r="D83" s="2" t="s">
        <v>117</v>
      </c>
      <c r="E83" s="2" t="s">
        <v>29</v>
      </c>
      <c r="F83" s="2" t="s">
        <v>30</v>
      </c>
      <c r="G83" s="2" t="s">
        <v>31</v>
      </c>
      <c r="H83" s="2" t="s">
        <v>65</v>
      </c>
      <c r="I83" s="5">
        <v>45768</v>
      </c>
      <c r="J83" s="2">
        <v>130</v>
      </c>
      <c r="K83" s="2">
        <v>143</v>
      </c>
      <c r="L83" s="14">
        <v>5800568.8899999997</v>
      </c>
      <c r="M83" s="14" t="str">
        <f>IF(Table1[[#This Row],[Budget_ZAR]]="", "Missing", "Present")</f>
        <v>Present</v>
      </c>
      <c r="N83" s="14">
        <v>5724620.7999999998</v>
      </c>
      <c r="O83" s="14" t="str">
        <f>IF(Table1[[#This Row],[Actual_Cost_ZAR]]="","Missing","Present")</f>
        <v>Present</v>
      </c>
      <c r="P83"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83" s="2">
        <v>100</v>
      </c>
      <c r="R83" s="2" t="s">
        <v>33</v>
      </c>
      <c r="S83" s="2" t="str" cm="1">
        <f t="array" ref="S83">IF(Table1[[#This Row],[Progress_Percent]]="unknown","Unknown",_xlfn.IFS(Table1[[#This Row],[Progress_Percent]]&lt;=10,"Planning",Table1[[#This Row],[Progress_Percent]]&lt;100, "In Progress",Table1[[#This Row],[Progress_Percent]]=100,"Completed"))</f>
        <v>Completed</v>
      </c>
      <c r="T83" s="2" t="str">
        <f>IF(Table1[[#This Row],[Progress_Percent]]="unknown","Unknown",IF(Table1[[#This Row],[Project_Status]]="On Hold","Review",IF(Table1[[#This Row],[Project_Status]]=Table1[[#This Row],[Project_Expected_Status]],"OK","Mismatch")))</f>
        <v>Review</v>
      </c>
      <c r="U83" s="5">
        <v>45808</v>
      </c>
      <c r="V83">
        <f>Table1[[#This Row],[Actual_Duration_Days]]-Table1[[#This Row],[Planned_Duration_Days]]</f>
        <v>13</v>
      </c>
      <c r="W83" t="str" cm="1">
        <f t="array" ref="W83">_xlfn.IFS(Table1[[#This Row],[Schedule_Variance]]&gt;0,"Behind Schedule",Table1[[#This Row],[Schedule_Variance]]&lt;0,"Ahead of Schedule",Table1[[#This Row],[Schedule_Variance]]=0,"On Schedule")</f>
        <v>Behind Schedule</v>
      </c>
      <c r="X83" s="26">
        <f>IF(OR(ISBLANK(Table1[[#This Row],[Actual_Cost_ZAR]])),"",Table1[[#This Row],[Actual_Cost_ZAR]]-Table1[[#This Row],[Budget_ZAR]])</f>
        <v>-75948.089999999851</v>
      </c>
      <c r="Y83" s="9">
        <f>IF(OR(Table1[[#This Row],[Cost_Variance]]="",Table1[[#This Row],[Budget_ZAR]]=""),"",Table1[[#This Row],[Cost_Variance]]/Table1[[#This Row],[Budget_ZAR]])</f>
        <v>-1.30932140347358E-2</v>
      </c>
      <c r="Z83" t="str">
        <f>IF(OR(Table1[[#This Row],[Budget_ZAR]]="",Table1[[#This Row],[Actual_Cost_ZAR]]=""),"Missing Data",IF(Table1[[#This Row],[Cost_Variance]]&lt;0,"Under Budget",IF(Table1[[#This Row],[Cost_Variance]]=0,"On Budget","Over Budget")))</f>
        <v>Under Budget</v>
      </c>
      <c r="AA83" s="26">
        <f>IF(OR(ISBLANK(Table1[[#This Row],[Actual_Cost_ZAR]]),ISBLANK(Table1[[#This Row],[Budget_ZAR]])),0,Table1[[#This Row],[Actual_Cost_ZAR]]-Table1[[#This Row],[Budget_ZAR]])</f>
        <v>-75948.089999999851</v>
      </c>
      <c r="AB83" s="9">
        <f>IF(OR(Table1[[#This Row],[Cost_Variance]]="",Table1[[#This Row],[Budget_ZAR]]=""),0,Table1[[#This Row],[Cost_Variance]]/Table1[[#This Row],[Budget_ZAR]])</f>
        <v>-1.30932140347358E-2</v>
      </c>
      <c r="AC83" t="str">
        <f>IF(Table1[[#This Row],[Last_Updated]] = "","Missing Date",IF(Table1[[#This Row],[Last_Updated]]=_xlfn.MAXIFS(Table1[Last_Updated],Table1[Project_ID],Table1[[#This Row],[Project_ID]]),"Latest","Older"))</f>
        <v>Older</v>
      </c>
      <c r="AD83">
        <f>COUNTIFS(Table1[Project_ID],Table1[[#This Row],[Project_ID]],Table1[Last_Updated],"&gt;0")</f>
        <v>7</v>
      </c>
      <c r="AE83">
        <f>COUNTIFS(Table1[Project_ID],Table1[[#This Row],[Project_ID]],Table1[Latest_Record_Flag],"Latest")</f>
        <v>1</v>
      </c>
      <c r="AF83" t="str">
        <f>IF(Table1[[#This Row],[Latest_Count]]&gt;1,"Potential Duplicate -Review","Unique")</f>
        <v>Unique</v>
      </c>
      <c r="AG83" t="str">
        <f>IF(Table1[[#This Row],[Latest_Record_Flag]]&lt;&gt;"Latest","",IF(Table1[[#This Row],[Latest_Count]]&gt;1,"Review - Tied Latest Date", "OK"))</f>
        <v/>
      </c>
    </row>
    <row r="84" spans="1:33" x14ac:dyDescent="0.25">
      <c r="A84" s="2" t="s">
        <v>222</v>
      </c>
      <c r="B84" s="2" t="s">
        <v>92</v>
      </c>
      <c r="C84" s="2" t="s">
        <v>206</v>
      </c>
      <c r="D84" s="2" t="s">
        <v>19</v>
      </c>
      <c r="E84" s="2" t="s">
        <v>29</v>
      </c>
      <c r="F84" s="2" t="s">
        <v>30</v>
      </c>
      <c r="G84" s="2" t="s">
        <v>76</v>
      </c>
      <c r="H84" s="2" t="s">
        <v>38</v>
      </c>
      <c r="I84" s="5">
        <v>45749</v>
      </c>
      <c r="J84" s="2">
        <v>43</v>
      </c>
      <c r="K84" s="2">
        <v>81</v>
      </c>
      <c r="L84" s="14">
        <v>783527.23</v>
      </c>
      <c r="M84" s="14" t="str">
        <f>IF(Table1[[#This Row],[Budget_ZAR]]="", "Missing", "Present")</f>
        <v>Present</v>
      </c>
      <c r="N84" s="14">
        <v>780344.75</v>
      </c>
      <c r="O84" s="14" t="str">
        <f>IF(Table1[[#This Row],[Actual_Cost_ZAR]]="","Missing","Present")</f>
        <v>Present</v>
      </c>
      <c r="P84"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84" s="2">
        <v>70</v>
      </c>
      <c r="R84" s="2" t="s">
        <v>49</v>
      </c>
      <c r="S84" s="2" t="str" cm="1">
        <f t="array" ref="S84">IF(Table1[[#This Row],[Progress_Percent]]="unknown","Unknown",_xlfn.IFS(Table1[[#This Row],[Progress_Percent]]&lt;=10,"Planning",Table1[[#This Row],[Progress_Percent]]&lt;100, "In Progress",Table1[[#This Row],[Progress_Percent]]=100,"Completed"))</f>
        <v>In Progress</v>
      </c>
      <c r="T84" s="2" t="str">
        <f>IF(Table1[[#This Row],[Progress_Percent]]="unknown","Unknown",IF(Table1[[#This Row],[Project_Status]]="On Hold","Review",IF(Table1[[#This Row],[Project_Status]]=Table1[[#This Row],[Project_Expected_Status]],"OK","Mismatch")))</f>
        <v>OK</v>
      </c>
      <c r="U84" s="5">
        <v>45706</v>
      </c>
      <c r="V84">
        <f>Table1[[#This Row],[Actual_Duration_Days]]-Table1[[#This Row],[Planned_Duration_Days]]</f>
        <v>38</v>
      </c>
      <c r="W84" t="str" cm="1">
        <f t="array" ref="W84">_xlfn.IFS(Table1[[#This Row],[Schedule_Variance]]&gt;0,"Behind Schedule",Table1[[#This Row],[Schedule_Variance]]&lt;0,"Ahead of Schedule",Table1[[#This Row],[Schedule_Variance]]=0,"On Schedule")</f>
        <v>Behind Schedule</v>
      </c>
      <c r="X84" s="26">
        <f>IF(OR(ISBLANK(Table1[[#This Row],[Actual_Cost_ZAR]])),"",Table1[[#This Row],[Actual_Cost_ZAR]]-Table1[[#This Row],[Budget_ZAR]])</f>
        <v>-3182.4799999999814</v>
      </c>
      <c r="Y84" s="9">
        <f>IF(OR(Table1[[#This Row],[Cost_Variance]]="",Table1[[#This Row],[Budget_ZAR]]=""),"",Table1[[#This Row],[Cost_Variance]]/Table1[[#This Row],[Budget_ZAR]])</f>
        <v>-4.0617350337651716E-3</v>
      </c>
      <c r="Z84" t="str">
        <f>IF(OR(Table1[[#This Row],[Budget_ZAR]]="",Table1[[#This Row],[Actual_Cost_ZAR]]=""),"Missing Data",IF(Table1[[#This Row],[Cost_Variance]]&lt;0,"Under Budget",IF(Table1[[#This Row],[Cost_Variance]]=0,"On Budget","Over Budget")))</f>
        <v>Under Budget</v>
      </c>
      <c r="AA84" s="26">
        <f>IF(OR(ISBLANK(Table1[[#This Row],[Actual_Cost_ZAR]]),ISBLANK(Table1[[#This Row],[Budget_ZAR]])),0,Table1[[#This Row],[Actual_Cost_ZAR]]-Table1[[#This Row],[Budget_ZAR]])</f>
        <v>-3182.4799999999814</v>
      </c>
      <c r="AB84" s="9">
        <f>IF(OR(Table1[[#This Row],[Cost_Variance]]="",Table1[[#This Row],[Budget_ZAR]]=""),0,Table1[[#This Row],[Cost_Variance]]/Table1[[#This Row],[Budget_ZAR]])</f>
        <v>-4.0617350337651716E-3</v>
      </c>
      <c r="AC84" t="str">
        <f>IF(Table1[[#This Row],[Last_Updated]] = "","Missing Date",IF(Table1[[#This Row],[Last_Updated]]=_xlfn.MAXIFS(Table1[Last_Updated],Table1[Project_ID],Table1[[#This Row],[Project_ID]]),"Latest","Older"))</f>
        <v>Older</v>
      </c>
      <c r="AD84">
        <f>COUNTIFS(Table1[Project_ID],Table1[[#This Row],[Project_ID]],Table1[Last_Updated],"&gt;0")</f>
        <v>8</v>
      </c>
      <c r="AE84">
        <f>COUNTIFS(Table1[Project_ID],Table1[[#This Row],[Project_ID]],Table1[Latest_Record_Flag],"Latest")</f>
        <v>1</v>
      </c>
      <c r="AF84" t="str">
        <f>IF(Table1[[#This Row],[Latest_Count]]&gt;1,"Potential Duplicate -Review","Unique")</f>
        <v>Unique</v>
      </c>
      <c r="AG84" t="str">
        <f>IF(Table1[[#This Row],[Latest_Record_Flag]]&lt;&gt;"Latest","",IF(Table1[[#This Row],[Latest_Count]]&gt;1,"Review - Tied Latest Date", "OK"))</f>
        <v/>
      </c>
    </row>
    <row r="85" spans="1:33" x14ac:dyDescent="0.25">
      <c r="A85" s="2" t="s">
        <v>223</v>
      </c>
      <c r="B85" s="2" t="s">
        <v>110</v>
      </c>
      <c r="C85" s="2" t="s">
        <v>42</v>
      </c>
      <c r="D85" s="2" t="s">
        <v>117</v>
      </c>
      <c r="E85" s="2" t="s">
        <v>68</v>
      </c>
      <c r="F85" s="2" t="s">
        <v>30</v>
      </c>
      <c r="G85" s="2" t="s">
        <v>60</v>
      </c>
      <c r="H85" s="2" t="s">
        <v>65</v>
      </c>
      <c r="I85" s="5">
        <v>45965</v>
      </c>
      <c r="J85" s="2">
        <v>99</v>
      </c>
      <c r="K85" s="2">
        <v>106</v>
      </c>
      <c r="L85" s="14">
        <v>897503.54</v>
      </c>
      <c r="M85" s="14" t="str">
        <f>IF(Table1[[#This Row],[Budget_ZAR]]="", "Missing", "Present")</f>
        <v>Present</v>
      </c>
      <c r="N85" s="14">
        <v>927755.04</v>
      </c>
      <c r="O85" s="14" t="str">
        <f>IF(Table1[[#This Row],[Actual_Cost_ZAR]]="","Missing","Present")</f>
        <v>Present</v>
      </c>
      <c r="P85"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85" s="2">
        <v>25</v>
      </c>
      <c r="R85" s="2" t="s">
        <v>33</v>
      </c>
      <c r="S85" s="2" t="str" cm="1">
        <f t="array" ref="S85">IF(Table1[[#This Row],[Progress_Percent]]="unknown","Unknown",_xlfn.IFS(Table1[[#This Row],[Progress_Percent]]&lt;=10,"Planning",Table1[[#This Row],[Progress_Percent]]&lt;100, "In Progress",Table1[[#This Row],[Progress_Percent]]=100,"Completed"))</f>
        <v>In Progress</v>
      </c>
      <c r="T85" s="2" t="str">
        <f>IF(Table1[[#This Row],[Progress_Percent]]="unknown","Unknown",IF(Table1[[#This Row],[Project_Status]]="On Hold","Review",IF(Table1[[#This Row],[Project_Status]]=Table1[[#This Row],[Project_Expected_Status]],"OK","Mismatch")))</f>
        <v>Review</v>
      </c>
      <c r="U85" s="5">
        <v>46112</v>
      </c>
      <c r="V85">
        <f>Table1[[#This Row],[Actual_Duration_Days]]-Table1[[#This Row],[Planned_Duration_Days]]</f>
        <v>7</v>
      </c>
      <c r="W85" t="str" cm="1">
        <f t="array" ref="W85">_xlfn.IFS(Table1[[#This Row],[Schedule_Variance]]&gt;0,"Behind Schedule",Table1[[#This Row],[Schedule_Variance]]&lt;0,"Ahead of Schedule",Table1[[#This Row],[Schedule_Variance]]=0,"On Schedule")</f>
        <v>Behind Schedule</v>
      </c>
      <c r="X85" s="26">
        <f>IF(OR(ISBLANK(Table1[[#This Row],[Actual_Cost_ZAR]])),"",Table1[[#This Row],[Actual_Cost_ZAR]]-Table1[[#This Row],[Budget_ZAR]])</f>
        <v>30251.5</v>
      </c>
      <c r="Y85" s="9">
        <f>IF(OR(Table1[[#This Row],[Cost_Variance]]="",Table1[[#This Row],[Budget_ZAR]]=""),"",Table1[[#This Row],[Cost_Variance]]/Table1[[#This Row],[Budget_ZAR]])</f>
        <v>3.3706273737928651E-2</v>
      </c>
      <c r="Z85" t="str">
        <f>IF(OR(Table1[[#This Row],[Budget_ZAR]]="",Table1[[#This Row],[Actual_Cost_ZAR]]=""),"Missing Data",IF(Table1[[#This Row],[Cost_Variance]]&lt;0,"Under Budget",IF(Table1[[#This Row],[Cost_Variance]]=0,"On Budget","Over Budget")))</f>
        <v>Over Budget</v>
      </c>
      <c r="AA85" s="26">
        <f>IF(OR(ISBLANK(Table1[[#This Row],[Actual_Cost_ZAR]]),ISBLANK(Table1[[#This Row],[Budget_ZAR]])),0,Table1[[#This Row],[Actual_Cost_ZAR]]-Table1[[#This Row],[Budget_ZAR]])</f>
        <v>30251.5</v>
      </c>
      <c r="AB85" s="9">
        <f>IF(OR(Table1[[#This Row],[Cost_Variance]]="",Table1[[#This Row],[Budget_ZAR]]=""),0,Table1[[#This Row],[Cost_Variance]]/Table1[[#This Row],[Budget_ZAR]])</f>
        <v>3.3706273737928651E-2</v>
      </c>
      <c r="AC85" t="str">
        <f>IF(Table1[[#This Row],[Last_Updated]] = "","Missing Date",IF(Table1[[#This Row],[Last_Updated]]=_xlfn.MAXIFS(Table1[Last_Updated],Table1[Project_ID],Table1[[#This Row],[Project_ID]]),"Latest","Older"))</f>
        <v>Older</v>
      </c>
      <c r="AD85">
        <f>COUNTIFS(Table1[Project_ID],Table1[[#This Row],[Project_ID]],Table1[Last_Updated],"&gt;0")</f>
        <v>4</v>
      </c>
      <c r="AE85">
        <f>COUNTIFS(Table1[Project_ID],Table1[[#This Row],[Project_ID]],Table1[Latest_Record_Flag],"Latest")</f>
        <v>1</v>
      </c>
      <c r="AF85" t="str">
        <f>IF(Table1[[#This Row],[Latest_Count]]&gt;1,"Potential Duplicate -Review","Unique")</f>
        <v>Unique</v>
      </c>
      <c r="AG85" t="str">
        <f>IF(Table1[[#This Row],[Latest_Record_Flag]]&lt;&gt;"Latest","",IF(Table1[[#This Row],[Latest_Count]]&gt;1,"Review - Tied Latest Date", "OK"))</f>
        <v/>
      </c>
    </row>
    <row r="86" spans="1:33" x14ac:dyDescent="0.25">
      <c r="A86" s="2" t="s">
        <v>225</v>
      </c>
      <c r="B86" s="2" t="s">
        <v>120</v>
      </c>
      <c r="C86" s="2" t="s">
        <v>27</v>
      </c>
      <c r="D86" s="2" t="s">
        <v>28</v>
      </c>
      <c r="E86" s="2" t="s">
        <v>43</v>
      </c>
      <c r="F86" s="2" t="s">
        <v>30</v>
      </c>
      <c r="G86" s="2" t="s">
        <v>31</v>
      </c>
      <c r="H86" s="2" t="s">
        <v>65</v>
      </c>
      <c r="I86" s="5">
        <v>45877</v>
      </c>
      <c r="J86" s="2">
        <v>163</v>
      </c>
      <c r="K86" s="2">
        <v>197</v>
      </c>
      <c r="L86" s="14">
        <v>5365167.87</v>
      </c>
      <c r="M86" s="14" t="str">
        <f>IF(Table1[[#This Row],[Budget_ZAR]]="", "Missing", "Present")</f>
        <v>Present</v>
      </c>
      <c r="N86" s="14">
        <v>5830792.7599999998</v>
      </c>
      <c r="O86" s="14" t="str">
        <f>IF(Table1[[#This Row],[Actual_Cost_ZAR]]="","Missing","Present")</f>
        <v>Present</v>
      </c>
      <c r="P86"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86" s="2"/>
      <c r="R86" s="2" t="s">
        <v>24</v>
      </c>
      <c r="S86" s="2" t="str" cm="1">
        <f t="array" ref="S86">IF(Table1[[#This Row],[Progress_Percent]]="unknown","Unknown",_xlfn.IFS(Table1[[#This Row],[Progress_Percent]]&lt;=10,"Planning",Table1[[#This Row],[Progress_Percent]]&lt;100, "In Progress",Table1[[#This Row],[Progress_Percent]]=100,"Completed"))</f>
        <v>Planning</v>
      </c>
      <c r="T86" s="2" t="str">
        <f>IF(Table1[[#This Row],[Progress_Percent]]="unknown","Unknown",IF(Table1[[#This Row],[Project_Status]]="On Hold","Review",IF(Table1[[#This Row],[Project_Status]]=Table1[[#This Row],[Project_Expected_Status]],"OK","Mismatch")))</f>
        <v>OK</v>
      </c>
      <c r="U86" s="5">
        <v>45879</v>
      </c>
      <c r="V86">
        <f>Table1[[#This Row],[Actual_Duration_Days]]-Table1[[#This Row],[Planned_Duration_Days]]</f>
        <v>34</v>
      </c>
      <c r="W86" t="str" cm="1">
        <f t="array" ref="W86">_xlfn.IFS(Table1[[#This Row],[Schedule_Variance]]&gt;0,"Behind Schedule",Table1[[#This Row],[Schedule_Variance]]&lt;0,"Ahead of Schedule",Table1[[#This Row],[Schedule_Variance]]=0,"On Schedule")</f>
        <v>Behind Schedule</v>
      </c>
      <c r="X86" s="26">
        <f>IF(OR(ISBLANK(Table1[[#This Row],[Actual_Cost_ZAR]])),"",Table1[[#This Row],[Actual_Cost_ZAR]]-Table1[[#This Row],[Budget_ZAR]])</f>
        <v>465624.88999999966</v>
      </c>
      <c r="Y86" s="9">
        <f>IF(OR(Table1[[#This Row],[Cost_Variance]]="",Table1[[#This Row],[Budget_ZAR]]=""),"",Table1[[#This Row],[Cost_Variance]]/Table1[[#This Row],[Budget_ZAR]])</f>
        <v>8.6786639539015886E-2</v>
      </c>
      <c r="Z86" t="str">
        <f>IF(OR(Table1[[#This Row],[Budget_ZAR]]="",Table1[[#This Row],[Actual_Cost_ZAR]]=""),"Missing Data",IF(Table1[[#This Row],[Cost_Variance]]&lt;0,"Under Budget",IF(Table1[[#This Row],[Cost_Variance]]=0,"On Budget","Over Budget")))</f>
        <v>Over Budget</v>
      </c>
      <c r="AA86" s="26">
        <f>IF(OR(ISBLANK(Table1[[#This Row],[Actual_Cost_ZAR]]),ISBLANK(Table1[[#This Row],[Budget_ZAR]])),0,Table1[[#This Row],[Actual_Cost_ZAR]]-Table1[[#This Row],[Budget_ZAR]])</f>
        <v>465624.88999999966</v>
      </c>
      <c r="AB86" s="9">
        <f>IF(OR(Table1[[#This Row],[Cost_Variance]]="",Table1[[#This Row],[Budget_ZAR]]=""),0,Table1[[#This Row],[Cost_Variance]]/Table1[[#This Row],[Budget_ZAR]])</f>
        <v>8.6786639539015886E-2</v>
      </c>
      <c r="AC86" t="str">
        <f>IF(Table1[[#This Row],[Last_Updated]] = "","Missing Date",IF(Table1[[#This Row],[Last_Updated]]=_xlfn.MAXIFS(Table1[Last_Updated],Table1[Project_ID],Table1[[#This Row],[Project_ID]]),"Latest","Older"))</f>
        <v>Latest</v>
      </c>
      <c r="AD86">
        <f>COUNTIFS(Table1[Project_ID],Table1[[#This Row],[Project_ID]],Table1[Last_Updated],"&gt;0")</f>
        <v>3</v>
      </c>
      <c r="AE86">
        <f>COUNTIFS(Table1[Project_ID],Table1[[#This Row],[Project_ID]],Table1[Latest_Record_Flag],"Latest")</f>
        <v>1</v>
      </c>
      <c r="AF86" t="str">
        <f>IF(Table1[[#This Row],[Latest_Count]]&gt;1,"Potential Duplicate -Review","Unique")</f>
        <v>Unique</v>
      </c>
      <c r="AG86" t="str">
        <f>IF(Table1[[#This Row],[Latest_Record_Flag]]&lt;&gt;"Latest","",IF(Table1[[#This Row],[Latest_Count]]&gt;1,"Review - Tied Latest Date", "OK"))</f>
        <v>OK</v>
      </c>
    </row>
    <row r="87" spans="1:33" x14ac:dyDescent="0.25">
      <c r="A87" s="2" t="s">
        <v>227</v>
      </c>
      <c r="B87" s="2" t="s">
        <v>63</v>
      </c>
      <c r="C87" s="2" t="s">
        <v>124</v>
      </c>
      <c r="D87" s="2" t="s">
        <v>37</v>
      </c>
      <c r="E87" s="2" t="s">
        <v>29</v>
      </c>
      <c r="F87" s="2" t="s">
        <v>30</v>
      </c>
      <c r="G87" s="2" t="s">
        <v>22</v>
      </c>
      <c r="H87" s="2" t="s">
        <v>65</v>
      </c>
      <c r="I87" s="5">
        <v>45731</v>
      </c>
      <c r="J87" s="2">
        <v>164</v>
      </c>
      <c r="K87" s="2">
        <v>191</v>
      </c>
      <c r="L87" s="14">
        <v>2754902.15</v>
      </c>
      <c r="M87" s="14" t="str">
        <f>IF(Table1[[#This Row],[Budget_ZAR]]="", "Missing", "Present")</f>
        <v>Present</v>
      </c>
      <c r="N87" s="14">
        <v>2344249.0699999998</v>
      </c>
      <c r="O87" s="14" t="str">
        <f>IF(Table1[[#This Row],[Actual_Cost_ZAR]]="","Missing","Present")</f>
        <v>Present</v>
      </c>
      <c r="P87"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87" s="2"/>
      <c r="R87" s="2" t="s">
        <v>24</v>
      </c>
      <c r="S87" s="2" t="str" cm="1">
        <f t="array" ref="S87">IF(Table1[[#This Row],[Progress_Percent]]="unknown","Unknown",_xlfn.IFS(Table1[[#This Row],[Progress_Percent]]&lt;=10,"Planning",Table1[[#This Row],[Progress_Percent]]&lt;100, "In Progress",Table1[[#This Row],[Progress_Percent]]=100,"Completed"))</f>
        <v>Planning</v>
      </c>
      <c r="T87" s="2" t="str">
        <f>IF(Table1[[#This Row],[Progress_Percent]]="unknown","Unknown",IF(Table1[[#This Row],[Project_Status]]="On Hold","Review",IF(Table1[[#This Row],[Project_Status]]=Table1[[#This Row],[Project_Expected_Status]],"OK","Mismatch")))</f>
        <v>OK</v>
      </c>
      <c r="U87" s="5">
        <v>45811</v>
      </c>
      <c r="V87">
        <f>Table1[[#This Row],[Actual_Duration_Days]]-Table1[[#This Row],[Planned_Duration_Days]]</f>
        <v>27</v>
      </c>
      <c r="W87" t="str" cm="1">
        <f t="array" ref="W87">_xlfn.IFS(Table1[[#This Row],[Schedule_Variance]]&gt;0,"Behind Schedule",Table1[[#This Row],[Schedule_Variance]]&lt;0,"Ahead of Schedule",Table1[[#This Row],[Schedule_Variance]]=0,"On Schedule")</f>
        <v>Behind Schedule</v>
      </c>
      <c r="X87" s="26">
        <f>IF(OR(ISBLANK(Table1[[#This Row],[Actual_Cost_ZAR]])),"",Table1[[#This Row],[Actual_Cost_ZAR]]-Table1[[#This Row],[Budget_ZAR]])</f>
        <v>-410653.08000000007</v>
      </c>
      <c r="Y87" s="9">
        <f>IF(OR(Table1[[#This Row],[Cost_Variance]]="",Table1[[#This Row],[Budget_ZAR]]=""),"",Table1[[#This Row],[Cost_Variance]]/Table1[[#This Row],[Budget_ZAR]])</f>
        <v>-0.14906267360530395</v>
      </c>
      <c r="Z87" t="str">
        <f>IF(OR(Table1[[#This Row],[Budget_ZAR]]="",Table1[[#This Row],[Actual_Cost_ZAR]]=""),"Missing Data",IF(Table1[[#This Row],[Cost_Variance]]&lt;0,"Under Budget",IF(Table1[[#This Row],[Cost_Variance]]=0,"On Budget","Over Budget")))</f>
        <v>Under Budget</v>
      </c>
      <c r="AA87" s="26">
        <f>IF(OR(ISBLANK(Table1[[#This Row],[Actual_Cost_ZAR]]),ISBLANK(Table1[[#This Row],[Budget_ZAR]])),0,Table1[[#This Row],[Actual_Cost_ZAR]]-Table1[[#This Row],[Budget_ZAR]])</f>
        <v>-410653.08000000007</v>
      </c>
      <c r="AB87" s="9">
        <f>IF(OR(Table1[[#This Row],[Cost_Variance]]="",Table1[[#This Row],[Budget_ZAR]]=""),0,Table1[[#This Row],[Cost_Variance]]/Table1[[#This Row],[Budget_ZAR]])</f>
        <v>-0.14906267360530395</v>
      </c>
      <c r="AC87" t="str">
        <f>IF(Table1[[#This Row],[Last_Updated]] = "","Missing Date",IF(Table1[[#This Row],[Last_Updated]]=_xlfn.MAXIFS(Table1[Last_Updated],Table1[Project_ID],Table1[[#This Row],[Project_ID]]),"Latest","Older"))</f>
        <v>Older</v>
      </c>
      <c r="AD87">
        <f>COUNTIFS(Table1[Project_ID],Table1[[#This Row],[Project_ID]],Table1[Last_Updated],"&gt;0")</f>
        <v>4</v>
      </c>
      <c r="AE87">
        <f>COUNTIFS(Table1[Project_ID],Table1[[#This Row],[Project_ID]],Table1[Latest_Record_Flag],"Latest")</f>
        <v>1</v>
      </c>
      <c r="AF87" t="str">
        <f>IF(Table1[[#This Row],[Latest_Count]]&gt;1,"Potential Duplicate -Review","Unique")</f>
        <v>Unique</v>
      </c>
      <c r="AG87" t="str">
        <f>IF(Table1[[#This Row],[Latest_Record_Flag]]&lt;&gt;"Latest","",IF(Table1[[#This Row],[Latest_Count]]&gt;1,"Review - Tied Latest Date", "OK"))</f>
        <v/>
      </c>
    </row>
    <row r="88" spans="1:33" x14ac:dyDescent="0.25">
      <c r="A88" s="2" t="s">
        <v>228</v>
      </c>
      <c r="B88" s="2" t="s">
        <v>35</v>
      </c>
      <c r="C88" s="2" t="s">
        <v>197</v>
      </c>
      <c r="D88" s="2" t="s">
        <v>19</v>
      </c>
      <c r="E88" s="2" t="s">
        <v>29</v>
      </c>
      <c r="F88" s="2" t="s">
        <v>48</v>
      </c>
      <c r="G88" s="2" t="s">
        <v>76</v>
      </c>
      <c r="H88" s="2" t="s">
        <v>108</v>
      </c>
      <c r="I88" s="5">
        <v>45948</v>
      </c>
      <c r="J88" s="2">
        <v>172</v>
      </c>
      <c r="K88" s="2">
        <v>162</v>
      </c>
      <c r="L88" s="14">
        <v>5770888.6500000004</v>
      </c>
      <c r="M88" s="14" t="str">
        <f>IF(Table1[[#This Row],[Budget_ZAR]]="", "Missing", "Present")</f>
        <v>Present</v>
      </c>
      <c r="N88" s="14">
        <v>4950210.3</v>
      </c>
      <c r="O88" s="14" t="str">
        <f>IF(Table1[[#This Row],[Actual_Cost_ZAR]]="","Missing","Present")</f>
        <v>Present</v>
      </c>
      <c r="P88"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88" s="2">
        <v>0</v>
      </c>
      <c r="R88" s="2" t="s">
        <v>24</v>
      </c>
      <c r="S88" s="2" t="str" cm="1">
        <f t="array" ref="S88">IF(Table1[[#This Row],[Progress_Percent]]="unknown","Unknown",_xlfn.IFS(Table1[[#This Row],[Progress_Percent]]&lt;=10,"Planning",Table1[[#This Row],[Progress_Percent]]&lt;100, "In Progress",Table1[[#This Row],[Progress_Percent]]=100,"Completed"))</f>
        <v>Planning</v>
      </c>
      <c r="T88" s="2" t="str">
        <f>IF(Table1[[#This Row],[Progress_Percent]]="unknown","Unknown",IF(Table1[[#This Row],[Project_Status]]="On Hold","Review",IF(Table1[[#This Row],[Project_Status]]=Table1[[#This Row],[Project_Expected_Status]],"OK","Mismatch")))</f>
        <v>OK</v>
      </c>
      <c r="U88" s="5">
        <v>46018</v>
      </c>
      <c r="V88">
        <f>Table1[[#This Row],[Actual_Duration_Days]]-Table1[[#This Row],[Planned_Duration_Days]]</f>
        <v>-10</v>
      </c>
      <c r="W88" t="str" cm="1">
        <f t="array" ref="W88">_xlfn.IFS(Table1[[#This Row],[Schedule_Variance]]&gt;0,"Behind Schedule",Table1[[#This Row],[Schedule_Variance]]&lt;0,"Ahead of Schedule",Table1[[#This Row],[Schedule_Variance]]=0,"On Schedule")</f>
        <v>Ahead of Schedule</v>
      </c>
      <c r="X88" s="26">
        <f>IF(OR(ISBLANK(Table1[[#This Row],[Actual_Cost_ZAR]])),"",Table1[[#This Row],[Actual_Cost_ZAR]]-Table1[[#This Row],[Budget_ZAR]])</f>
        <v>-820678.35000000056</v>
      </c>
      <c r="Y88" s="9">
        <f>IF(OR(Table1[[#This Row],[Cost_Variance]]="",Table1[[#This Row],[Budget_ZAR]]=""),"",Table1[[#This Row],[Cost_Variance]]/Table1[[#This Row],[Budget_ZAR]])</f>
        <v>-0.14221004766744208</v>
      </c>
      <c r="Z88" t="str">
        <f>IF(OR(Table1[[#This Row],[Budget_ZAR]]="",Table1[[#This Row],[Actual_Cost_ZAR]]=""),"Missing Data",IF(Table1[[#This Row],[Cost_Variance]]&lt;0,"Under Budget",IF(Table1[[#This Row],[Cost_Variance]]=0,"On Budget","Over Budget")))</f>
        <v>Under Budget</v>
      </c>
      <c r="AA88" s="26">
        <f>IF(OR(ISBLANK(Table1[[#This Row],[Actual_Cost_ZAR]]),ISBLANK(Table1[[#This Row],[Budget_ZAR]])),0,Table1[[#This Row],[Actual_Cost_ZAR]]-Table1[[#This Row],[Budget_ZAR]])</f>
        <v>-820678.35000000056</v>
      </c>
      <c r="AB88" s="9">
        <f>IF(OR(Table1[[#This Row],[Cost_Variance]]="",Table1[[#This Row],[Budget_ZAR]]=""),0,Table1[[#This Row],[Cost_Variance]]/Table1[[#This Row],[Budget_ZAR]])</f>
        <v>-0.14221004766744208</v>
      </c>
      <c r="AC88" t="str">
        <f>IF(Table1[[#This Row],[Last_Updated]] = "","Missing Date",IF(Table1[[#This Row],[Last_Updated]]=_xlfn.MAXIFS(Table1[Last_Updated],Table1[Project_ID],Table1[[#This Row],[Project_ID]]),"Latest","Older"))</f>
        <v>Older</v>
      </c>
      <c r="AD88">
        <f>COUNTIFS(Table1[Project_ID],Table1[[#This Row],[Project_ID]],Table1[Last_Updated],"&gt;0")</f>
        <v>6</v>
      </c>
      <c r="AE88">
        <f>COUNTIFS(Table1[Project_ID],Table1[[#This Row],[Project_ID]],Table1[Latest_Record_Flag],"Latest")</f>
        <v>1</v>
      </c>
      <c r="AF88" t="str">
        <f>IF(Table1[[#This Row],[Latest_Count]]&gt;1,"Potential Duplicate -Review","Unique")</f>
        <v>Unique</v>
      </c>
      <c r="AG88" t="str">
        <f>IF(Table1[[#This Row],[Latest_Record_Flag]]&lt;&gt;"Latest","",IF(Table1[[#This Row],[Latest_Count]]&gt;1,"Review - Tied Latest Date", "OK"))</f>
        <v/>
      </c>
    </row>
    <row r="89" spans="1:33" x14ac:dyDescent="0.25">
      <c r="A89" s="2" t="s">
        <v>229</v>
      </c>
      <c r="B89" s="2" t="s">
        <v>113</v>
      </c>
      <c r="C89" s="2" t="s">
        <v>140</v>
      </c>
      <c r="D89" s="2" t="s">
        <v>37</v>
      </c>
      <c r="E89" s="2" t="s">
        <v>68</v>
      </c>
      <c r="F89" s="2" t="s">
        <v>59</v>
      </c>
      <c r="G89" s="2" t="s">
        <v>60</v>
      </c>
      <c r="H89" s="2" t="s">
        <v>32</v>
      </c>
      <c r="I89" s="5">
        <v>45920</v>
      </c>
      <c r="J89" s="2">
        <v>49</v>
      </c>
      <c r="K89" s="2">
        <v>56</v>
      </c>
      <c r="L89" s="14">
        <v>2936960.21</v>
      </c>
      <c r="M89" s="14" t="str">
        <f>IF(Table1[[#This Row],[Budget_ZAR]]="", "Missing", "Present")</f>
        <v>Present</v>
      </c>
      <c r="N89" s="14">
        <v>2706770.77</v>
      </c>
      <c r="O89" s="14" t="str">
        <f>IF(Table1[[#This Row],[Actual_Cost_ZAR]]="","Missing","Present")</f>
        <v>Present</v>
      </c>
      <c r="P89"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89" s="2">
        <v>100</v>
      </c>
      <c r="R89" s="2" t="s">
        <v>54</v>
      </c>
      <c r="S89" s="2" t="str" cm="1">
        <f t="array" ref="S89">IF(Table1[[#This Row],[Progress_Percent]]="unknown","Unknown",_xlfn.IFS(Table1[[#This Row],[Progress_Percent]]&lt;=10,"Planning",Table1[[#This Row],[Progress_Percent]]&lt;100, "In Progress",Table1[[#This Row],[Progress_Percent]]=100,"Completed"))</f>
        <v>Completed</v>
      </c>
      <c r="T89" s="2" t="str">
        <f>IF(Table1[[#This Row],[Progress_Percent]]="unknown","Unknown",IF(Table1[[#This Row],[Project_Status]]="On Hold","Review",IF(Table1[[#This Row],[Project_Status]]=Table1[[#This Row],[Project_Expected_Status]],"OK","Mismatch")))</f>
        <v>OK</v>
      </c>
      <c r="U89" s="5">
        <v>45998</v>
      </c>
      <c r="V89">
        <f>Table1[[#This Row],[Actual_Duration_Days]]-Table1[[#This Row],[Planned_Duration_Days]]</f>
        <v>7</v>
      </c>
      <c r="W89" t="str" cm="1">
        <f t="array" ref="W89">_xlfn.IFS(Table1[[#This Row],[Schedule_Variance]]&gt;0,"Behind Schedule",Table1[[#This Row],[Schedule_Variance]]&lt;0,"Ahead of Schedule",Table1[[#This Row],[Schedule_Variance]]=0,"On Schedule")</f>
        <v>Behind Schedule</v>
      </c>
      <c r="X89" s="26">
        <f>IF(OR(ISBLANK(Table1[[#This Row],[Actual_Cost_ZAR]])),"",Table1[[#This Row],[Actual_Cost_ZAR]]-Table1[[#This Row],[Budget_ZAR]])</f>
        <v>-230189.43999999994</v>
      </c>
      <c r="Y89" s="9">
        <f>IF(OR(Table1[[#This Row],[Cost_Variance]]="",Table1[[#This Row],[Budget_ZAR]]=""),"",Table1[[#This Row],[Cost_Variance]]/Table1[[#This Row],[Budget_ZAR]])</f>
        <v>-7.83767649341085E-2</v>
      </c>
      <c r="Z89" t="str">
        <f>IF(OR(Table1[[#This Row],[Budget_ZAR]]="",Table1[[#This Row],[Actual_Cost_ZAR]]=""),"Missing Data",IF(Table1[[#This Row],[Cost_Variance]]&lt;0,"Under Budget",IF(Table1[[#This Row],[Cost_Variance]]=0,"On Budget","Over Budget")))</f>
        <v>Under Budget</v>
      </c>
      <c r="AA89" s="26">
        <f>IF(OR(ISBLANK(Table1[[#This Row],[Actual_Cost_ZAR]]),ISBLANK(Table1[[#This Row],[Budget_ZAR]])),0,Table1[[#This Row],[Actual_Cost_ZAR]]-Table1[[#This Row],[Budget_ZAR]])</f>
        <v>-230189.43999999994</v>
      </c>
      <c r="AB89" s="9">
        <f>IF(OR(Table1[[#This Row],[Cost_Variance]]="",Table1[[#This Row],[Budget_ZAR]]=""),0,Table1[[#This Row],[Cost_Variance]]/Table1[[#This Row],[Budget_ZAR]])</f>
        <v>-7.83767649341085E-2</v>
      </c>
      <c r="AC89" t="str">
        <f>IF(Table1[[#This Row],[Last_Updated]] = "","Missing Date",IF(Table1[[#This Row],[Last_Updated]]=_xlfn.MAXIFS(Table1[Last_Updated],Table1[Project_ID],Table1[[#This Row],[Project_ID]]),"Latest","Older"))</f>
        <v>Latest</v>
      </c>
      <c r="AD89">
        <f>COUNTIFS(Table1[Project_ID],Table1[[#This Row],[Project_ID]],Table1[Last_Updated],"&gt;0")</f>
        <v>3</v>
      </c>
      <c r="AE89">
        <f>COUNTIFS(Table1[Project_ID],Table1[[#This Row],[Project_ID]],Table1[Latest_Record_Flag],"Latest")</f>
        <v>1</v>
      </c>
      <c r="AF89" t="str">
        <f>IF(Table1[[#This Row],[Latest_Count]]&gt;1,"Potential Duplicate -Review","Unique")</f>
        <v>Unique</v>
      </c>
      <c r="AG89" t="str">
        <f>IF(Table1[[#This Row],[Latest_Record_Flag]]&lt;&gt;"Latest","",IF(Table1[[#This Row],[Latest_Count]]&gt;1,"Review - Tied Latest Date", "OK"))</f>
        <v>OK</v>
      </c>
    </row>
    <row r="90" spans="1:33" x14ac:dyDescent="0.25">
      <c r="A90" s="2" t="s">
        <v>230</v>
      </c>
      <c r="B90" s="2" t="s">
        <v>113</v>
      </c>
      <c r="C90" s="2" t="s">
        <v>154</v>
      </c>
      <c r="D90" s="2" t="s">
        <v>58</v>
      </c>
      <c r="E90" s="2" t="s">
        <v>85</v>
      </c>
      <c r="F90" s="2" t="s">
        <v>48</v>
      </c>
      <c r="G90" s="2" t="s">
        <v>95</v>
      </c>
      <c r="H90" s="2" t="s">
        <v>38</v>
      </c>
      <c r="I90" s="5">
        <v>45728</v>
      </c>
      <c r="J90" s="2">
        <v>85</v>
      </c>
      <c r="K90" s="2">
        <v>88</v>
      </c>
      <c r="L90" s="14">
        <v>2300764.7200000002</v>
      </c>
      <c r="M90" s="14" t="str">
        <f>IF(Table1[[#This Row],[Budget_ZAR]]="", "Missing", "Present")</f>
        <v>Present</v>
      </c>
      <c r="N90" s="14">
        <v>1803488.83</v>
      </c>
      <c r="O90" s="14" t="str">
        <f>IF(Table1[[#This Row],[Actual_Cost_ZAR]]="","Missing","Present")</f>
        <v>Present</v>
      </c>
      <c r="P90"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90" s="2">
        <v>85</v>
      </c>
      <c r="R90" s="2" t="s">
        <v>49</v>
      </c>
      <c r="S90" s="2" t="str" cm="1">
        <f t="array" ref="S90">IF(Table1[[#This Row],[Progress_Percent]]="unknown","Unknown",_xlfn.IFS(Table1[[#This Row],[Progress_Percent]]&lt;=10,"Planning",Table1[[#This Row],[Progress_Percent]]&lt;100, "In Progress",Table1[[#This Row],[Progress_Percent]]=100,"Completed"))</f>
        <v>In Progress</v>
      </c>
      <c r="T90" s="2" t="str">
        <f>IF(Table1[[#This Row],[Progress_Percent]]="unknown","Unknown",IF(Table1[[#This Row],[Project_Status]]="On Hold","Review",IF(Table1[[#This Row],[Project_Status]]=Table1[[#This Row],[Project_Expected_Status]],"OK","Mismatch")))</f>
        <v>OK</v>
      </c>
      <c r="U90" s="5">
        <v>45819</v>
      </c>
      <c r="V90">
        <f>Table1[[#This Row],[Actual_Duration_Days]]-Table1[[#This Row],[Planned_Duration_Days]]</f>
        <v>3</v>
      </c>
      <c r="W90" t="str" cm="1">
        <f t="array" ref="W90">_xlfn.IFS(Table1[[#This Row],[Schedule_Variance]]&gt;0,"Behind Schedule",Table1[[#This Row],[Schedule_Variance]]&lt;0,"Ahead of Schedule",Table1[[#This Row],[Schedule_Variance]]=0,"On Schedule")</f>
        <v>Behind Schedule</v>
      </c>
      <c r="X90" s="26">
        <f>IF(OR(ISBLANK(Table1[[#This Row],[Actual_Cost_ZAR]])),"",Table1[[#This Row],[Actual_Cost_ZAR]]-Table1[[#This Row],[Budget_ZAR]])</f>
        <v>-497275.89000000013</v>
      </c>
      <c r="Y90" s="9">
        <f>IF(OR(Table1[[#This Row],[Cost_Variance]]="",Table1[[#This Row],[Budget_ZAR]]=""),"",Table1[[#This Row],[Cost_Variance]]/Table1[[#This Row],[Budget_ZAR]])</f>
        <v>-0.21613504661180657</v>
      </c>
      <c r="Z90" t="str">
        <f>IF(OR(Table1[[#This Row],[Budget_ZAR]]="",Table1[[#This Row],[Actual_Cost_ZAR]]=""),"Missing Data",IF(Table1[[#This Row],[Cost_Variance]]&lt;0,"Under Budget",IF(Table1[[#This Row],[Cost_Variance]]=0,"On Budget","Over Budget")))</f>
        <v>Under Budget</v>
      </c>
      <c r="AA90" s="26">
        <f>IF(OR(ISBLANK(Table1[[#This Row],[Actual_Cost_ZAR]]),ISBLANK(Table1[[#This Row],[Budget_ZAR]])),0,Table1[[#This Row],[Actual_Cost_ZAR]]-Table1[[#This Row],[Budget_ZAR]])</f>
        <v>-497275.89000000013</v>
      </c>
      <c r="AB90" s="9">
        <f>IF(OR(Table1[[#This Row],[Cost_Variance]]="",Table1[[#This Row],[Budget_ZAR]]=""),0,Table1[[#This Row],[Cost_Variance]]/Table1[[#This Row],[Budget_ZAR]])</f>
        <v>-0.21613504661180657</v>
      </c>
      <c r="AC90" t="str">
        <f>IF(Table1[[#This Row],[Last_Updated]] = "","Missing Date",IF(Table1[[#This Row],[Last_Updated]]=_xlfn.MAXIFS(Table1[Last_Updated],Table1[Project_ID],Table1[[#This Row],[Project_ID]]),"Latest","Older"))</f>
        <v>Older</v>
      </c>
      <c r="AD90">
        <f>COUNTIFS(Table1[Project_ID],Table1[[#This Row],[Project_ID]],Table1[Last_Updated],"&gt;0")</f>
        <v>3</v>
      </c>
      <c r="AE90">
        <f>COUNTIFS(Table1[Project_ID],Table1[[#This Row],[Project_ID]],Table1[Latest_Record_Flag],"Latest")</f>
        <v>1</v>
      </c>
      <c r="AF90" t="str">
        <f>IF(Table1[[#This Row],[Latest_Count]]&gt;1,"Potential Duplicate -Review","Unique")</f>
        <v>Unique</v>
      </c>
      <c r="AG90" t="str">
        <f>IF(Table1[[#This Row],[Latest_Record_Flag]]&lt;&gt;"Latest","",IF(Table1[[#This Row],[Latest_Count]]&gt;1,"Review - Tied Latest Date", "OK"))</f>
        <v/>
      </c>
    </row>
    <row r="91" spans="1:33" x14ac:dyDescent="0.25">
      <c r="A91" s="2" t="s">
        <v>231</v>
      </c>
      <c r="B91" s="2" t="s">
        <v>73</v>
      </c>
      <c r="C91" s="2" t="s">
        <v>232</v>
      </c>
      <c r="D91" s="2" t="s">
        <v>117</v>
      </c>
      <c r="E91" s="2" t="s">
        <v>20</v>
      </c>
      <c r="F91" s="2" t="s">
        <v>44</v>
      </c>
      <c r="G91" s="2" t="s">
        <v>60</v>
      </c>
      <c r="H91" s="2" t="s">
        <v>65</v>
      </c>
      <c r="I91" s="5">
        <v>45861</v>
      </c>
      <c r="J91" s="2">
        <v>30</v>
      </c>
      <c r="K91" s="2">
        <v>42</v>
      </c>
      <c r="L91" s="14">
        <v>367134.6</v>
      </c>
      <c r="M91" s="14" t="str">
        <f>IF(Table1[[#This Row],[Budget_ZAR]]="", "Missing", "Present")</f>
        <v>Present</v>
      </c>
      <c r="N91" s="14">
        <v>455460.29</v>
      </c>
      <c r="O91" s="14" t="str">
        <f>IF(Table1[[#This Row],[Actual_Cost_ZAR]]="","Missing","Present")</f>
        <v>Present</v>
      </c>
      <c r="P91"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91" s="2">
        <v>70</v>
      </c>
      <c r="R91" s="2" t="s">
        <v>33</v>
      </c>
      <c r="S91" s="2" t="str" cm="1">
        <f t="array" ref="S91">IF(Table1[[#This Row],[Progress_Percent]]="unknown","Unknown",_xlfn.IFS(Table1[[#This Row],[Progress_Percent]]&lt;=10,"Planning",Table1[[#This Row],[Progress_Percent]]&lt;100, "In Progress",Table1[[#This Row],[Progress_Percent]]=100,"Completed"))</f>
        <v>In Progress</v>
      </c>
      <c r="T91" s="2" t="str">
        <f>IF(Table1[[#This Row],[Progress_Percent]]="unknown","Unknown",IF(Table1[[#This Row],[Project_Status]]="On Hold","Review",IF(Table1[[#This Row],[Project_Status]]=Table1[[#This Row],[Project_Expected_Status]],"OK","Mismatch")))</f>
        <v>Review</v>
      </c>
      <c r="U91" s="5">
        <v>45905</v>
      </c>
      <c r="V91">
        <f>Table1[[#This Row],[Actual_Duration_Days]]-Table1[[#This Row],[Planned_Duration_Days]]</f>
        <v>12</v>
      </c>
      <c r="W91" t="str" cm="1">
        <f t="array" ref="W91">_xlfn.IFS(Table1[[#This Row],[Schedule_Variance]]&gt;0,"Behind Schedule",Table1[[#This Row],[Schedule_Variance]]&lt;0,"Ahead of Schedule",Table1[[#This Row],[Schedule_Variance]]=0,"On Schedule")</f>
        <v>Behind Schedule</v>
      </c>
      <c r="X91" s="26">
        <f>IF(OR(ISBLANK(Table1[[#This Row],[Actual_Cost_ZAR]])),"",Table1[[#This Row],[Actual_Cost_ZAR]]-Table1[[#This Row],[Budget_ZAR]])</f>
        <v>88325.69</v>
      </c>
      <c r="Y91" s="9">
        <f>IF(OR(Table1[[#This Row],[Cost_Variance]]="",Table1[[#This Row],[Budget_ZAR]]=""),"",Table1[[#This Row],[Cost_Variance]]/Table1[[#This Row],[Budget_ZAR]])</f>
        <v>0.24058122007568888</v>
      </c>
      <c r="Z91" t="str">
        <f>IF(OR(Table1[[#This Row],[Budget_ZAR]]="",Table1[[#This Row],[Actual_Cost_ZAR]]=""),"Missing Data",IF(Table1[[#This Row],[Cost_Variance]]&lt;0,"Under Budget",IF(Table1[[#This Row],[Cost_Variance]]=0,"On Budget","Over Budget")))</f>
        <v>Over Budget</v>
      </c>
      <c r="AA91" s="26">
        <f>IF(OR(ISBLANK(Table1[[#This Row],[Actual_Cost_ZAR]]),ISBLANK(Table1[[#This Row],[Budget_ZAR]])),0,Table1[[#This Row],[Actual_Cost_ZAR]]-Table1[[#This Row],[Budget_ZAR]])</f>
        <v>88325.69</v>
      </c>
      <c r="AB91" s="9">
        <f>IF(OR(Table1[[#This Row],[Cost_Variance]]="",Table1[[#This Row],[Budget_ZAR]]=""),0,Table1[[#This Row],[Cost_Variance]]/Table1[[#This Row],[Budget_ZAR]])</f>
        <v>0.24058122007568888</v>
      </c>
      <c r="AC91" t="str">
        <f>IF(Table1[[#This Row],[Last_Updated]] = "","Missing Date",IF(Table1[[#This Row],[Last_Updated]]=_xlfn.MAXIFS(Table1[Last_Updated],Table1[Project_ID],Table1[[#This Row],[Project_ID]]),"Latest","Older"))</f>
        <v>Older</v>
      </c>
      <c r="AD91">
        <f>COUNTIFS(Table1[Project_ID],Table1[[#This Row],[Project_ID]],Table1[Last_Updated],"&gt;0")</f>
        <v>4</v>
      </c>
      <c r="AE91">
        <f>COUNTIFS(Table1[Project_ID],Table1[[#This Row],[Project_ID]],Table1[Latest_Record_Flag],"Latest")</f>
        <v>1</v>
      </c>
      <c r="AF91" t="str">
        <f>IF(Table1[[#This Row],[Latest_Count]]&gt;1,"Potential Duplicate -Review","Unique")</f>
        <v>Unique</v>
      </c>
      <c r="AG91" t="str">
        <f>IF(Table1[[#This Row],[Latest_Record_Flag]]&lt;&gt;"Latest","",IF(Table1[[#This Row],[Latest_Count]]&gt;1,"Review - Tied Latest Date", "OK"))</f>
        <v/>
      </c>
    </row>
    <row r="92" spans="1:33" x14ac:dyDescent="0.25">
      <c r="A92" s="2" t="s">
        <v>233</v>
      </c>
      <c r="B92" s="2" t="s">
        <v>200</v>
      </c>
      <c r="C92" s="2" t="s">
        <v>204</v>
      </c>
      <c r="D92" s="2" t="s">
        <v>117</v>
      </c>
      <c r="E92" s="2" t="s">
        <v>43</v>
      </c>
      <c r="F92" s="2" t="s">
        <v>21</v>
      </c>
      <c r="G92" s="2" t="s">
        <v>31</v>
      </c>
      <c r="H92" s="2" t="s">
        <v>32</v>
      </c>
      <c r="I92" s="5">
        <v>45893</v>
      </c>
      <c r="J92" s="2">
        <v>112</v>
      </c>
      <c r="K92" s="2">
        <v>102</v>
      </c>
      <c r="L92" s="14">
        <v>2979448.62</v>
      </c>
      <c r="M92" s="14" t="str">
        <f>IF(Table1[[#This Row],[Budget_ZAR]]="", "Missing", "Present")</f>
        <v>Present</v>
      </c>
      <c r="N92" s="14">
        <v>2481676.81</v>
      </c>
      <c r="O92" s="14" t="str">
        <f>IF(Table1[[#This Row],[Actual_Cost_ZAR]]="","Missing","Present")</f>
        <v>Present</v>
      </c>
      <c r="P92"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92" s="2">
        <v>85</v>
      </c>
      <c r="R92" s="2" t="s">
        <v>33</v>
      </c>
      <c r="S92" s="2" t="str" cm="1">
        <f t="array" ref="S92">IF(Table1[[#This Row],[Progress_Percent]]="unknown","Unknown",_xlfn.IFS(Table1[[#This Row],[Progress_Percent]]&lt;=10,"Planning",Table1[[#This Row],[Progress_Percent]]&lt;100, "In Progress",Table1[[#This Row],[Progress_Percent]]=100,"Completed"))</f>
        <v>In Progress</v>
      </c>
      <c r="T92" s="2" t="str">
        <f>IF(Table1[[#This Row],[Progress_Percent]]="unknown","Unknown",IF(Table1[[#This Row],[Project_Status]]="On Hold","Review",IF(Table1[[#This Row],[Project_Status]]=Table1[[#This Row],[Project_Expected_Status]],"OK","Mismatch")))</f>
        <v>Review</v>
      </c>
      <c r="U92" s="5">
        <v>45913</v>
      </c>
      <c r="V92">
        <f>Table1[[#This Row],[Actual_Duration_Days]]-Table1[[#This Row],[Planned_Duration_Days]]</f>
        <v>-10</v>
      </c>
      <c r="W92" t="str" cm="1">
        <f t="array" ref="W92">_xlfn.IFS(Table1[[#This Row],[Schedule_Variance]]&gt;0,"Behind Schedule",Table1[[#This Row],[Schedule_Variance]]&lt;0,"Ahead of Schedule",Table1[[#This Row],[Schedule_Variance]]=0,"On Schedule")</f>
        <v>Ahead of Schedule</v>
      </c>
      <c r="X92" s="26">
        <f>IF(OR(ISBLANK(Table1[[#This Row],[Actual_Cost_ZAR]])),"",Table1[[#This Row],[Actual_Cost_ZAR]]-Table1[[#This Row],[Budget_ZAR]])</f>
        <v>-497771.81000000006</v>
      </c>
      <c r="Y92" s="9">
        <f>IF(OR(Table1[[#This Row],[Cost_Variance]]="",Table1[[#This Row],[Budget_ZAR]]=""),"",Table1[[#This Row],[Cost_Variance]]/Table1[[#This Row],[Budget_ZAR]])</f>
        <v>-0.16706843227925844</v>
      </c>
      <c r="Z92" t="str">
        <f>IF(OR(Table1[[#This Row],[Budget_ZAR]]="",Table1[[#This Row],[Actual_Cost_ZAR]]=""),"Missing Data",IF(Table1[[#This Row],[Cost_Variance]]&lt;0,"Under Budget",IF(Table1[[#This Row],[Cost_Variance]]=0,"On Budget","Over Budget")))</f>
        <v>Under Budget</v>
      </c>
      <c r="AA92" s="26">
        <f>IF(OR(ISBLANK(Table1[[#This Row],[Actual_Cost_ZAR]]),ISBLANK(Table1[[#This Row],[Budget_ZAR]])),0,Table1[[#This Row],[Actual_Cost_ZAR]]-Table1[[#This Row],[Budget_ZAR]])</f>
        <v>-497771.81000000006</v>
      </c>
      <c r="AB92" s="9">
        <f>IF(OR(Table1[[#This Row],[Cost_Variance]]="",Table1[[#This Row],[Budget_ZAR]]=""),0,Table1[[#This Row],[Cost_Variance]]/Table1[[#This Row],[Budget_ZAR]])</f>
        <v>-0.16706843227925844</v>
      </c>
      <c r="AC92" t="str">
        <f>IF(Table1[[#This Row],[Last_Updated]] = "","Missing Date",IF(Table1[[#This Row],[Last_Updated]]=_xlfn.MAXIFS(Table1[Last_Updated],Table1[Project_ID],Table1[[#This Row],[Project_ID]]),"Latest","Older"))</f>
        <v>Latest</v>
      </c>
      <c r="AD92">
        <f>COUNTIFS(Table1[Project_ID],Table1[[#This Row],[Project_ID]],Table1[Last_Updated],"&gt;0")</f>
        <v>4</v>
      </c>
      <c r="AE92">
        <f>COUNTIFS(Table1[Project_ID],Table1[[#This Row],[Project_ID]],Table1[Latest_Record_Flag],"Latest")</f>
        <v>1</v>
      </c>
      <c r="AF92" t="str">
        <f>IF(Table1[[#This Row],[Latest_Count]]&gt;1,"Potential Duplicate -Review","Unique")</f>
        <v>Unique</v>
      </c>
      <c r="AG92" t="str">
        <f>IF(Table1[[#This Row],[Latest_Record_Flag]]&lt;&gt;"Latest","",IF(Table1[[#This Row],[Latest_Count]]&gt;1,"Review - Tied Latest Date", "OK"))</f>
        <v>OK</v>
      </c>
    </row>
    <row r="93" spans="1:33" x14ac:dyDescent="0.25">
      <c r="A93" s="2" t="s">
        <v>234</v>
      </c>
      <c r="B93" s="2" t="s">
        <v>126</v>
      </c>
      <c r="C93" s="2" t="s">
        <v>173</v>
      </c>
      <c r="D93" s="2" t="s">
        <v>19</v>
      </c>
      <c r="E93" s="2" t="s">
        <v>20</v>
      </c>
      <c r="F93" s="2" t="s">
        <v>30</v>
      </c>
      <c r="G93" s="2" t="s">
        <v>22</v>
      </c>
      <c r="H93" s="2" t="s">
        <v>32</v>
      </c>
      <c r="I93" s="5">
        <v>45982</v>
      </c>
      <c r="J93" s="2">
        <v>49</v>
      </c>
      <c r="K93" s="2">
        <v>67</v>
      </c>
      <c r="L93" s="14">
        <v>3437200.39</v>
      </c>
      <c r="M93" s="14" t="str">
        <f>IF(Table1[[#This Row],[Budget_ZAR]]="", "Missing", "Present")</f>
        <v>Present</v>
      </c>
      <c r="N93" s="14"/>
      <c r="O93" s="14" t="str">
        <f>IF(Table1[[#This Row],[Actual_Cost_ZAR]]="","Missing","Present")</f>
        <v>Missing</v>
      </c>
      <c r="P93"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Actual Cost Missing</v>
      </c>
      <c r="Q93" s="2">
        <v>70</v>
      </c>
      <c r="R93" s="2" t="s">
        <v>33</v>
      </c>
      <c r="S93" s="2" t="str" cm="1">
        <f t="array" ref="S93">IF(Table1[[#This Row],[Progress_Percent]]="unknown","Unknown",_xlfn.IFS(Table1[[#This Row],[Progress_Percent]]&lt;=10,"Planning",Table1[[#This Row],[Progress_Percent]]&lt;100, "In Progress",Table1[[#This Row],[Progress_Percent]]=100,"Completed"))</f>
        <v>In Progress</v>
      </c>
      <c r="T93" s="2" t="str">
        <f>IF(Table1[[#This Row],[Progress_Percent]]="unknown","Unknown",IF(Table1[[#This Row],[Project_Status]]="On Hold","Review",IF(Table1[[#This Row],[Project_Status]]=Table1[[#This Row],[Project_Expected_Status]],"OK","Mismatch")))</f>
        <v>Review</v>
      </c>
      <c r="U93" s="5">
        <v>46137</v>
      </c>
      <c r="V93">
        <f>Table1[[#This Row],[Actual_Duration_Days]]-Table1[[#This Row],[Planned_Duration_Days]]</f>
        <v>18</v>
      </c>
      <c r="W93" t="str" cm="1">
        <f t="array" ref="W93">_xlfn.IFS(Table1[[#This Row],[Schedule_Variance]]&gt;0,"Behind Schedule",Table1[[#This Row],[Schedule_Variance]]&lt;0,"Ahead of Schedule",Table1[[#This Row],[Schedule_Variance]]=0,"On Schedule")</f>
        <v>Behind Schedule</v>
      </c>
      <c r="X93" s="26" t="str">
        <f>IF(OR(ISBLANK(Table1[[#This Row],[Actual_Cost_ZAR]])),"",Table1[[#This Row],[Actual_Cost_ZAR]]-Table1[[#This Row],[Budget_ZAR]])</f>
        <v/>
      </c>
      <c r="Y93" s="9" t="str">
        <f>IF(OR(Table1[[#This Row],[Cost_Variance]]="",Table1[[#This Row],[Budget_ZAR]]=""),"",Table1[[#This Row],[Cost_Variance]]/Table1[[#This Row],[Budget_ZAR]])</f>
        <v/>
      </c>
      <c r="Z93" t="str">
        <f>IF(OR(Table1[[#This Row],[Budget_ZAR]]="",Table1[[#This Row],[Actual_Cost_ZAR]]=""),"Missing Data",IF(Table1[[#This Row],[Cost_Variance]]&lt;0,"Under Budget",IF(Table1[[#This Row],[Cost_Variance]]=0,"On Budget","Over Budget")))</f>
        <v>Missing Data</v>
      </c>
      <c r="AA93" s="26">
        <f>IF(OR(ISBLANK(Table1[[#This Row],[Actual_Cost_ZAR]]),ISBLANK(Table1[[#This Row],[Budget_ZAR]])),0,Table1[[#This Row],[Actual_Cost_ZAR]]-Table1[[#This Row],[Budget_ZAR]])</f>
        <v>0</v>
      </c>
      <c r="AB93" s="9">
        <f>IF(OR(Table1[[#This Row],[Cost_Variance]]="",Table1[[#This Row],[Budget_ZAR]]=""),0,Table1[[#This Row],[Cost_Variance]]/Table1[[#This Row],[Budget_ZAR]])</f>
        <v>0</v>
      </c>
      <c r="AC93" t="str">
        <f>IF(Table1[[#This Row],[Last_Updated]] = "","Missing Date",IF(Table1[[#This Row],[Last_Updated]]=_xlfn.MAXIFS(Table1[Last_Updated],Table1[Project_ID],Table1[[#This Row],[Project_ID]]),"Latest","Older"))</f>
        <v>Latest</v>
      </c>
      <c r="AD93">
        <f>COUNTIFS(Table1[Project_ID],Table1[[#This Row],[Project_ID]],Table1[Last_Updated],"&gt;0")</f>
        <v>5</v>
      </c>
      <c r="AE93">
        <f>COUNTIFS(Table1[Project_ID],Table1[[#This Row],[Project_ID]],Table1[Latest_Record_Flag],"Latest")</f>
        <v>1</v>
      </c>
      <c r="AF93" t="str">
        <f>IF(Table1[[#This Row],[Latest_Count]]&gt;1,"Potential Duplicate -Review","Unique")</f>
        <v>Unique</v>
      </c>
      <c r="AG93" t="str">
        <f>IF(Table1[[#This Row],[Latest_Record_Flag]]&lt;&gt;"Latest","",IF(Table1[[#This Row],[Latest_Count]]&gt;1,"Review - Tied Latest Date", "OK"))</f>
        <v>OK</v>
      </c>
    </row>
    <row r="94" spans="1:33" x14ac:dyDescent="0.25">
      <c r="A94" s="2" t="s">
        <v>235</v>
      </c>
      <c r="B94" s="2" t="s">
        <v>88</v>
      </c>
      <c r="C94" s="2" t="s">
        <v>236</v>
      </c>
      <c r="D94" s="2" t="s">
        <v>37</v>
      </c>
      <c r="E94" s="2" t="s">
        <v>20</v>
      </c>
      <c r="F94" s="2" t="s">
        <v>44</v>
      </c>
      <c r="G94" s="2" t="s">
        <v>76</v>
      </c>
      <c r="H94" s="2" t="s">
        <v>38</v>
      </c>
      <c r="I94" s="5">
        <v>45696</v>
      </c>
      <c r="J94" s="2">
        <v>65</v>
      </c>
      <c r="K94" s="2">
        <v>110</v>
      </c>
      <c r="L94" s="14">
        <v>5080300.5599999996</v>
      </c>
      <c r="M94" s="14" t="str">
        <f>IF(Table1[[#This Row],[Budget_ZAR]]="", "Missing", "Present")</f>
        <v>Present</v>
      </c>
      <c r="N94" s="14">
        <v>5217765.9400000004</v>
      </c>
      <c r="O94" s="14" t="str">
        <f>IF(Table1[[#This Row],[Actual_Cost_ZAR]]="","Missing","Present")</f>
        <v>Present</v>
      </c>
      <c r="P94"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94" s="2">
        <v>100</v>
      </c>
      <c r="R94" s="2" t="s">
        <v>54</v>
      </c>
      <c r="S94" s="2" t="str" cm="1">
        <f t="array" ref="S94">IF(Table1[[#This Row],[Progress_Percent]]="unknown","Unknown",_xlfn.IFS(Table1[[#This Row],[Progress_Percent]]&lt;=10,"Planning",Table1[[#This Row],[Progress_Percent]]&lt;100, "In Progress",Table1[[#This Row],[Progress_Percent]]=100,"Completed"))</f>
        <v>Completed</v>
      </c>
      <c r="T94" s="2" t="str">
        <f>IF(Table1[[#This Row],[Progress_Percent]]="unknown","Unknown",IF(Table1[[#This Row],[Project_Status]]="On Hold","Review",IF(Table1[[#This Row],[Project_Status]]=Table1[[#This Row],[Project_Expected_Status]],"OK","Mismatch")))</f>
        <v>OK</v>
      </c>
      <c r="U94" s="5">
        <v>45774</v>
      </c>
      <c r="V94">
        <f>Table1[[#This Row],[Actual_Duration_Days]]-Table1[[#This Row],[Planned_Duration_Days]]</f>
        <v>45</v>
      </c>
      <c r="W94" t="str" cm="1">
        <f t="array" ref="W94">_xlfn.IFS(Table1[[#This Row],[Schedule_Variance]]&gt;0,"Behind Schedule",Table1[[#This Row],[Schedule_Variance]]&lt;0,"Ahead of Schedule",Table1[[#This Row],[Schedule_Variance]]=0,"On Schedule")</f>
        <v>Behind Schedule</v>
      </c>
      <c r="X94" s="26">
        <f>IF(OR(ISBLANK(Table1[[#This Row],[Actual_Cost_ZAR]])),"",Table1[[#This Row],[Actual_Cost_ZAR]]-Table1[[#This Row],[Budget_ZAR]])</f>
        <v>137465.38000000082</v>
      </c>
      <c r="Y94" s="9">
        <f>IF(OR(Table1[[#This Row],[Cost_Variance]]="",Table1[[#This Row],[Budget_ZAR]]=""),"",Table1[[#This Row],[Cost_Variance]]/Table1[[#This Row],[Budget_ZAR]])</f>
        <v>2.7058513246704607E-2</v>
      </c>
      <c r="Z94" t="str">
        <f>IF(OR(Table1[[#This Row],[Budget_ZAR]]="",Table1[[#This Row],[Actual_Cost_ZAR]]=""),"Missing Data",IF(Table1[[#This Row],[Cost_Variance]]&lt;0,"Under Budget",IF(Table1[[#This Row],[Cost_Variance]]=0,"On Budget","Over Budget")))</f>
        <v>Over Budget</v>
      </c>
      <c r="AA94" s="26">
        <f>IF(OR(ISBLANK(Table1[[#This Row],[Actual_Cost_ZAR]]),ISBLANK(Table1[[#This Row],[Budget_ZAR]])),0,Table1[[#This Row],[Actual_Cost_ZAR]]-Table1[[#This Row],[Budget_ZAR]])</f>
        <v>137465.38000000082</v>
      </c>
      <c r="AB94" s="9">
        <f>IF(OR(Table1[[#This Row],[Cost_Variance]]="",Table1[[#This Row],[Budget_ZAR]]=""),0,Table1[[#This Row],[Cost_Variance]]/Table1[[#This Row],[Budget_ZAR]])</f>
        <v>2.7058513246704607E-2</v>
      </c>
      <c r="AC94" t="str">
        <f>IF(Table1[[#This Row],[Last_Updated]] = "","Missing Date",IF(Table1[[#This Row],[Last_Updated]]=_xlfn.MAXIFS(Table1[Last_Updated],Table1[Project_ID],Table1[[#This Row],[Project_ID]]),"Latest","Older"))</f>
        <v>Older</v>
      </c>
      <c r="AD94">
        <f>COUNTIFS(Table1[Project_ID],Table1[[#This Row],[Project_ID]],Table1[Last_Updated],"&gt;0")</f>
        <v>7</v>
      </c>
      <c r="AE94">
        <f>COUNTIFS(Table1[Project_ID],Table1[[#This Row],[Project_ID]],Table1[Latest_Record_Flag],"Latest")</f>
        <v>1</v>
      </c>
      <c r="AF94" t="str">
        <f>IF(Table1[[#This Row],[Latest_Count]]&gt;1,"Potential Duplicate -Review","Unique")</f>
        <v>Unique</v>
      </c>
      <c r="AG94" t="str">
        <f>IF(Table1[[#This Row],[Latest_Record_Flag]]&lt;&gt;"Latest","",IF(Table1[[#This Row],[Latest_Count]]&gt;1,"Review - Tied Latest Date", "OK"))</f>
        <v/>
      </c>
    </row>
    <row r="95" spans="1:33" x14ac:dyDescent="0.25">
      <c r="A95" s="2" t="s">
        <v>237</v>
      </c>
      <c r="B95" s="2" t="s">
        <v>115</v>
      </c>
      <c r="C95" s="2" t="s">
        <v>206</v>
      </c>
      <c r="D95" s="2" t="s">
        <v>117</v>
      </c>
      <c r="E95" s="2" t="s">
        <v>20</v>
      </c>
      <c r="F95" s="2" t="s">
        <v>265</v>
      </c>
      <c r="G95" s="2" t="s">
        <v>95</v>
      </c>
      <c r="H95" s="2" t="s">
        <v>23</v>
      </c>
      <c r="I95" s="5">
        <v>45960</v>
      </c>
      <c r="J95" s="2">
        <v>34</v>
      </c>
      <c r="K95" s="2">
        <v>41</v>
      </c>
      <c r="L95" s="14">
        <v>3420855.53</v>
      </c>
      <c r="M95" s="14" t="str">
        <f>IF(Table1[[#This Row],[Budget_ZAR]]="", "Missing", "Present")</f>
        <v>Present</v>
      </c>
      <c r="N95" s="14">
        <v>3199197.52</v>
      </c>
      <c r="O95" s="14" t="str">
        <f>IF(Table1[[#This Row],[Actual_Cost_ZAR]]="","Missing","Present")</f>
        <v>Present</v>
      </c>
      <c r="P95"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95" s="2">
        <v>100</v>
      </c>
      <c r="R95" s="2" t="s">
        <v>24</v>
      </c>
      <c r="S95" s="2" t="str" cm="1">
        <f t="array" ref="S95">IF(Table1[[#This Row],[Progress_Percent]]="unknown","Unknown",_xlfn.IFS(Table1[[#This Row],[Progress_Percent]]&lt;=10,"Planning",Table1[[#This Row],[Progress_Percent]]&lt;100, "In Progress",Table1[[#This Row],[Progress_Percent]]=100,"Completed"))</f>
        <v>Completed</v>
      </c>
      <c r="T95" s="2" t="str">
        <f>IF(Table1[[#This Row],[Progress_Percent]]="unknown","Unknown",IF(Table1[[#This Row],[Project_Status]]="On Hold","Review",IF(Table1[[#This Row],[Project_Status]]=Table1[[#This Row],[Project_Expected_Status]],"OK","Mismatch")))</f>
        <v>Mismatch</v>
      </c>
      <c r="U95" s="5">
        <v>46090</v>
      </c>
      <c r="V95">
        <f>Table1[[#This Row],[Actual_Duration_Days]]-Table1[[#This Row],[Planned_Duration_Days]]</f>
        <v>7</v>
      </c>
      <c r="W95" t="str" cm="1">
        <f t="array" ref="W95">_xlfn.IFS(Table1[[#This Row],[Schedule_Variance]]&gt;0,"Behind Schedule",Table1[[#This Row],[Schedule_Variance]]&lt;0,"Ahead of Schedule",Table1[[#This Row],[Schedule_Variance]]=0,"On Schedule")</f>
        <v>Behind Schedule</v>
      </c>
      <c r="X95" s="26">
        <f>IF(OR(ISBLANK(Table1[[#This Row],[Actual_Cost_ZAR]])),"",Table1[[#This Row],[Actual_Cost_ZAR]]-Table1[[#This Row],[Budget_ZAR]])</f>
        <v>-221658.00999999978</v>
      </c>
      <c r="Y95" s="9">
        <f>IF(OR(Table1[[#This Row],[Cost_Variance]]="",Table1[[#This Row],[Budget_ZAR]]=""),"",Table1[[#This Row],[Cost_Variance]]/Table1[[#This Row],[Budget_ZAR]])</f>
        <v>-6.4796074565592596E-2</v>
      </c>
      <c r="Z95" t="str">
        <f>IF(OR(Table1[[#This Row],[Budget_ZAR]]="",Table1[[#This Row],[Actual_Cost_ZAR]]=""),"Missing Data",IF(Table1[[#This Row],[Cost_Variance]]&lt;0,"Under Budget",IF(Table1[[#This Row],[Cost_Variance]]=0,"On Budget","Over Budget")))</f>
        <v>Under Budget</v>
      </c>
      <c r="AA95" s="26">
        <f>IF(OR(ISBLANK(Table1[[#This Row],[Actual_Cost_ZAR]]),ISBLANK(Table1[[#This Row],[Budget_ZAR]])),0,Table1[[#This Row],[Actual_Cost_ZAR]]-Table1[[#This Row],[Budget_ZAR]])</f>
        <v>-221658.00999999978</v>
      </c>
      <c r="AB95" s="9">
        <f>IF(OR(Table1[[#This Row],[Cost_Variance]]="",Table1[[#This Row],[Budget_ZAR]]=""),0,Table1[[#This Row],[Cost_Variance]]/Table1[[#This Row],[Budget_ZAR]])</f>
        <v>-6.4796074565592596E-2</v>
      </c>
      <c r="AC95" t="str">
        <f>IF(Table1[[#This Row],[Last_Updated]] = "","Missing Date",IF(Table1[[#This Row],[Last_Updated]]=_xlfn.MAXIFS(Table1[Last_Updated],Table1[Project_ID],Table1[[#This Row],[Project_ID]]),"Latest","Older"))</f>
        <v>Latest</v>
      </c>
      <c r="AD95">
        <f>COUNTIFS(Table1[Project_ID],Table1[[#This Row],[Project_ID]],Table1[Last_Updated],"&gt;0")</f>
        <v>3</v>
      </c>
      <c r="AE95">
        <f>COUNTIFS(Table1[Project_ID],Table1[[#This Row],[Project_ID]],Table1[Latest_Record_Flag],"Latest")</f>
        <v>1</v>
      </c>
      <c r="AF95" t="str">
        <f>IF(Table1[[#This Row],[Latest_Count]]&gt;1,"Potential Duplicate -Review","Unique")</f>
        <v>Unique</v>
      </c>
      <c r="AG95" t="str">
        <f>IF(Table1[[#This Row],[Latest_Record_Flag]]&lt;&gt;"Latest","",IF(Table1[[#This Row],[Latest_Count]]&gt;1,"Review - Tied Latest Date", "OK"))</f>
        <v>OK</v>
      </c>
    </row>
    <row r="96" spans="1:33" x14ac:dyDescent="0.25">
      <c r="A96" s="2" t="s">
        <v>239</v>
      </c>
      <c r="B96" s="2" t="s">
        <v>131</v>
      </c>
      <c r="C96" s="2" t="s">
        <v>240</v>
      </c>
      <c r="D96" s="2" t="s">
        <v>58</v>
      </c>
      <c r="E96" s="2" t="s">
        <v>29</v>
      </c>
      <c r="F96" s="2" t="s">
        <v>48</v>
      </c>
      <c r="G96" s="2" t="s">
        <v>22</v>
      </c>
      <c r="H96" s="2" t="s">
        <v>61</v>
      </c>
      <c r="I96" s="5">
        <v>45894</v>
      </c>
      <c r="J96" s="2">
        <v>168</v>
      </c>
      <c r="K96" s="2">
        <v>188</v>
      </c>
      <c r="L96" s="14">
        <v>6213946.7300000004</v>
      </c>
      <c r="M96" s="14" t="str">
        <f>IF(Table1[[#This Row],[Budget_ZAR]]="", "Missing", "Present")</f>
        <v>Present</v>
      </c>
      <c r="N96" s="14">
        <v>7142686.46</v>
      </c>
      <c r="O96" s="14" t="str">
        <f>IF(Table1[[#This Row],[Actual_Cost_ZAR]]="","Missing","Present")</f>
        <v>Present</v>
      </c>
      <c r="P96"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96" s="2">
        <v>0</v>
      </c>
      <c r="R96" s="2" t="s">
        <v>33</v>
      </c>
      <c r="S96" s="2" t="str" cm="1">
        <f t="array" ref="S96">IF(Table1[[#This Row],[Progress_Percent]]="unknown","Unknown",_xlfn.IFS(Table1[[#This Row],[Progress_Percent]]&lt;=10,"Planning",Table1[[#This Row],[Progress_Percent]]&lt;100, "In Progress",Table1[[#This Row],[Progress_Percent]]=100,"Completed"))</f>
        <v>Planning</v>
      </c>
      <c r="T96" s="2" t="str">
        <f>IF(Table1[[#This Row],[Progress_Percent]]="unknown","Unknown",IF(Table1[[#This Row],[Project_Status]]="On Hold","Review",IF(Table1[[#This Row],[Project_Status]]=Table1[[#This Row],[Project_Expected_Status]],"OK","Mismatch")))</f>
        <v>Review</v>
      </c>
      <c r="U96" s="5">
        <v>46010</v>
      </c>
      <c r="V96">
        <f>Table1[[#This Row],[Actual_Duration_Days]]-Table1[[#This Row],[Planned_Duration_Days]]</f>
        <v>20</v>
      </c>
      <c r="W96" t="str" cm="1">
        <f t="array" ref="W96">_xlfn.IFS(Table1[[#This Row],[Schedule_Variance]]&gt;0,"Behind Schedule",Table1[[#This Row],[Schedule_Variance]]&lt;0,"Ahead of Schedule",Table1[[#This Row],[Schedule_Variance]]=0,"On Schedule")</f>
        <v>Behind Schedule</v>
      </c>
      <c r="X96" s="26">
        <f>IF(OR(ISBLANK(Table1[[#This Row],[Actual_Cost_ZAR]])),"",Table1[[#This Row],[Actual_Cost_ZAR]]-Table1[[#This Row],[Budget_ZAR]])</f>
        <v>928739.72999999952</v>
      </c>
      <c r="Y96" s="9">
        <f>IF(OR(Table1[[#This Row],[Cost_Variance]]="",Table1[[#This Row],[Budget_ZAR]]=""),"",Table1[[#This Row],[Cost_Variance]]/Table1[[#This Row],[Budget_ZAR]])</f>
        <v>0.1494605232961177</v>
      </c>
      <c r="Z96" t="str">
        <f>IF(OR(Table1[[#This Row],[Budget_ZAR]]="",Table1[[#This Row],[Actual_Cost_ZAR]]=""),"Missing Data",IF(Table1[[#This Row],[Cost_Variance]]&lt;0,"Under Budget",IF(Table1[[#This Row],[Cost_Variance]]=0,"On Budget","Over Budget")))</f>
        <v>Over Budget</v>
      </c>
      <c r="AA96" s="26">
        <f>IF(OR(ISBLANK(Table1[[#This Row],[Actual_Cost_ZAR]]),ISBLANK(Table1[[#This Row],[Budget_ZAR]])),0,Table1[[#This Row],[Actual_Cost_ZAR]]-Table1[[#This Row],[Budget_ZAR]])</f>
        <v>928739.72999999952</v>
      </c>
      <c r="AB96" s="9">
        <f>IF(OR(Table1[[#This Row],[Cost_Variance]]="",Table1[[#This Row],[Budget_ZAR]]=""),0,Table1[[#This Row],[Cost_Variance]]/Table1[[#This Row],[Budget_ZAR]])</f>
        <v>0.1494605232961177</v>
      </c>
      <c r="AC96" t="str">
        <f>IF(Table1[[#This Row],[Last_Updated]] = "","Missing Date",IF(Table1[[#This Row],[Last_Updated]]=_xlfn.MAXIFS(Table1[Last_Updated],Table1[Project_ID],Table1[[#This Row],[Project_ID]]),"Latest","Older"))</f>
        <v>Latest</v>
      </c>
      <c r="AD96">
        <f>COUNTIFS(Table1[Project_ID],Table1[[#This Row],[Project_ID]],Table1[Last_Updated],"&gt;0")</f>
        <v>7</v>
      </c>
      <c r="AE96">
        <f>COUNTIFS(Table1[Project_ID],Table1[[#This Row],[Project_ID]],Table1[Latest_Record_Flag],"Latest")</f>
        <v>1</v>
      </c>
      <c r="AF96" t="str">
        <f>IF(Table1[[#This Row],[Latest_Count]]&gt;1,"Potential Duplicate -Review","Unique")</f>
        <v>Unique</v>
      </c>
      <c r="AG96" t="str">
        <f>IF(Table1[[#This Row],[Latest_Record_Flag]]&lt;&gt;"Latest","",IF(Table1[[#This Row],[Latest_Count]]&gt;1,"Review - Tied Latest Date", "OK"))</f>
        <v>OK</v>
      </c>
    </row>
    <row r="97" spans="1:33" x14ac:dyDescent="0.25">
      <c r="A97" s="2" t="s">
        <v>242</v>
      </c>
      <c r="B97" s="2" t="s">
        <v>17</v>
      </c>
      <c r="C97" s="2" t="s">
        <v>243</v>
      </c>
      <c r="D97" s="2" t="s">
        <v>117</v>
      </c>
      <c r="E97" s="2" t="s">
        <v>43</v>
      </c>
      <c r="F97" s="2" t="s">
        <v>44</v>
      </c>
      <c r="G97" s="2" t="s">
        <v>76</v>
      </c>
      <c r="H97" s="2" t="s">
        <v>65</v>
      </c>
      <c r="I97" s="5">
        <v>45833</v>
      </c>
      <c r="J97" s="2">
        <v>41</v>
      </c>
      <c r="K97" s="2">
        <v>58</v>
      </c>
      <c r="L97" s="14">
        <v>4288294.32</v>
      </c>
      <c r="M97" s="14" t="str">
        <f>IF(Table1[[#This Row],[Budget_ZAR]]="", "Missing", "Present")</f>
        <v>Present</v>
      </c>
      <c r="N97" s="14">
        <v>3428796.05</v>
      </c>
      <c r="O97" s="14" t="str">
        <f>IF(Table1[[#This Row],[Actual_Cost_ZAR]]="","Missing","Present")</f>
        <v>Present</v>
      </c>
      <c r="P97"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97" s="2">
        <v>100</v>
      </c>
      <c r="R97" s="2" t="s">
        <v>33</v>
      </c>
      <c r="S97" s="2" t="str" cm="1">
        <f t="array" ref="S97">IF(Table1[[#This Row],[Progress_Percent]]="unknown","Unknown",_xlfn.IFS(Table1[[#This Row],[Progress_Percent]]&lt;=10,"Planning",Table1[[#This Row],[Progress_Percent]]&lt;100, "In Progress",Table1[[#This Row],[Progress_Percent]]=100,"Completed"))</f>
        <v>Completed</v>
      </c>
      <c r="T97" s="2" t="str">
        <f>IF(Table1[[#This Row],[Progress_Percent]]="unknown","Unknown",IF(Table1[[#This Row],[Project_Status]]="On Hold","Review",IF(Table1[[#This Row],[Project_Status]]=Table1[[#This Row],[Project_Expected_Status]],"OK","Mismatch")))</f>
        <v>Review</v>
      </c>
      <c r="U97" s="5">
        <v>46007</v>
      </c>
      <c r="V97">
        <f>Table1[[#This Row],[Actual_Duration_Days]]-Table1[[#This Row],[Planned_Duration_Days]]</f>
        <v>17</v>
      </c>
      <c r="W97" t="str" cm="1">
        <f t="array" ref="W97">_xlfn.IFS(Table1[[#This Row],[Schedule_Variance]]&gt;0,"Behind Schedule",Table1[[#This Row],[Schedule_Variance]]&lt;0,"Ahead of Schedule",Table1[[#This Row],[Schedule_Variance]]=0,"On Schedule")</f>
        <v>Behind Schedule</v>
      </c>
      <c r="X97" s="26">
        <f>IF(OR(ISBLANK(Table1[[#This Row],[Actual_Cost_ZAR]])),"",Table1[[#This Row],[Actual_Cost_ZAR]]-Table1[[#This Row],[Budget_ZAR]])</f>
        <v>-859498.27000000048</v>
      </c>
      <c r="Y97" s="9">
        <f>IF(OR(Table1[[#This Row],[Cost_Variance]]="",Table1[[#This Row],[Budget_ZAR]]=""),"",Table1[[#This Row],[Cost_Variance]]/Table1[[#This Row],[Budget_ZAR]])</f>
        <v>-0.20042893651012283</v>
      </c>
      <c r="Z97" t="str">
        <f>IF(OR(Table1[[#This Row],[Budget_ZAR]]="",Table1[[#This Row],[Actual_Cost_ZAR]]=""),"Missing Data",IF(Table1[[#This Row],[Cost_Variance]]&lt;0,"Under Budget",IF(Table1[[#This Row],[Cost_Variance]]=0,"On Budget","Over Budget")))</f>
        <v>Under Budget</v>
      </c>
      <c r="AA97" s="26">
        <f>IF(OR(ISBLANK(Table1[[#This Row],[Actual_Cost_ZAR]]),ISBLANK(Table1[[#This Row],[Budget_ZAR]])),0,Table1[[#This Row],[Actual_Cost_ZAR]]-Table1[[#This Row],[Budget_ZAR]])</f>
        <v>-859498.27000000048</v>
      </c>
      <c r="AB97" s="9">
        <f>IF(OR(Table1[[#This Row],[Cost_Variance]]="",Table1[[#This Row],[Budget_ZAR]]=""),0,Table1[[#This Row],[Cost_Variance]]/Table1[[#This Row],[Budget_ZAR]])</f>
        <v>-0.20042893651012283</v>
      </c>
      <c r="AC97" t="str">
        <f>IF(Table1[[#This Row],[Last_Updated]] = "","Missing Date",IF(Table1[[#This Row],[Last_Updated]]=_xlfn.MAXIFS(Table1[Last_Updated],Table1[Project_ID],Table1[[#This Row],[Project_ID]]),"Latest","Older"))</f>
        <v>Latest</v>
      </c>
      <c r="AD97">
        <f>COUNTIFS(Table1[Project_ID],Table1[[#This Row],[Project_ID]],Table1[Last_Updated],"&gt;0")</f>
        <v>3</v>
      </c>
      <c r="AE97">
        <f>COUNTIFS(Table1[Project_ID],Table1[[#This Row],[Project_ID]],Table1[Latest_Record_Flag],"Latest")</f>
        <v>1</v>
      </c>
      <c r="AF97" t="str">
        <f>IF(Table1[[#This Row],[Latest_Count]]&gt;1,"Potential Duplicate -Review","Unique")</f>
        <v>Unique</v>
      </c>
      <c r="AG97" t="str">
        <f>IF(Table1[[#This Row],[Latest_Record_Flag]]&lt;&gt;"Latest","",IF(Table1[[#This Row],[Latest_Count]]&gt;1,"Review - Tied Latest Date", "OK"))</f>
        <v>OK</v>
      </c>
    </row>
    <row r="98" spans="1:33" x14ac:dyDescent="0.25">
      <c r="A98" s="2" t="s">
        <v>244</v>
      </c>
      <c r="B98" s="2" t="s">
        <v>200</v>
      </c>
      <c r="C98" s="2" t="s">
        <v>202</v>
      </c>
      <c r="D98" s="2" t="s">
        <v>117</v>
      </c>
      <c r="E98" s="2" t="s">
        <v>20</v>
      </c>
      <c r="F98" s="2" t="s">
        <v>48</v>
      </c>
      <c r="G98" s="2" t="s">
        <v>22</v>
      </c>
      <c r="H98" s="2" t="s">
        <v>65</v>
      </c>
      <c r="I98" s="5">
        <v>45684</v>
      </c>
      <c r="J98" s="2">
        <v>105</v>
      </c>
      <c r="K98" s="2">
        <v>94</v>
      </c>
      <c r="L98" s="14">
        <v>2310567.2200000002</v>
      </c>
      <c r="M98" s="14" t="str">
        <f>IF(Table1[[#This Row],[Budget_ZAR]]="", "Missing", "Present")</f>
        <v>Present</v>
      </c>
      <c r="N98" s="14">
        <v>2446848.19</v>
      </c>
      <c r="O98" s="14" t="str">
        <f>IF(Table1[[#This Row],[Actual_Cost_ZAR]]="","Missing","Present")</f>
        <v>Present</v>
      </c>
      <c r="P98"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98" s="2">
        <v>85</v>
      </c>
      <c r="R98" s="2" t="s">
        <v>54</v>
      </c>
      <c r="S98" s="2" t="str" cm="1">
        <f t="array" ref="S98">IF(Table1[[#This Row],[Progress_Percent]]="unknown","Unknown",_xlfn.IFS(Table1[[#This Row],[Progress_Percent]]&lt;=10,"Planning",Table1[[#This Row],[Progress_Percent]]&lt;100, "In Progress",Table1[[#This Row],[Progress_Percent]]=100,"Completed"))</f>
        <v>In Progress</v>
      </c>
      <c r="T98" s="2" t="str">
        <f>IF(Table1[[#This Row],[Progress_Percent]]="unknown","Unknown",IF(Table1[[#This Row],[Project_Status]]="On Hold","Review",IF(Table1[[#This Row],[Project_Status]]=Table1[[#This Row],[Project_Expected_Status]],"OK","Mismatch")))</f>
        <v>Mismatch</v>
      </c>
      <c r="U98" s="5">
        <v>45764</v>
      </c>
      <c r="V98">
        <f>Table1[[#This Row],[Actual_Duration_Days]]-Table1[[#This Row],[Planned_Duration_Days]]</f>
        <v>-11</v>
      </c>
      <c r="W98" t="str" cm="1">
        <f t="array" ref="W98">_xlfn.IFS(Table1[[#This Row],[Schedule_Variance]]&gt;0,"Behind Schedule",Table1[[#This Row],[Schedule_Variance]]&lt;0,"Ahead of Schedule",Table1[[#This Row],[Schedule_Variance]]=0,"On Schedule")</f>
        <v>Ahead of Schedule</v>
      </c>
      <c r="X98" s="26">
        <f>IF(OR(ISBLANK(Table1[[#This Row],[Actual_Cost_ZAR]])),"",Table1[[#This Row],[Actual_Cost_ZAR]]-Table1[[#This Row],[Budget_ZAR]])</f>
        <v>136280.96999999974</v>
      </c>
      <c r="Y98" s="9">
        <f>IF(OR(Table1[[#This Row],[Cost_Variance]]="",Table1[[#This Row],[Budget_ZAR]]=""),"",Table1[[#This Row],[Cost_Variance]]/Table1[[#This Row],[Budget_ZAR]])</f>
        <v>5.8981607988015917E-2</v>
      </c>
      <c r="Z98" t="str">
        <f>IF(OR(Table1[[#This Row],[Budget_ZAR]]="",Table1[[#This Row],[Actual_Cost_ZAR]]=""),"Missing Data",IF(Table1[[#This Row],[Cost_Variance]]&lt;0,"Under Budget",IF(Table1[[#This Row],[Cost_Variance]]=0,"On Budget","Over Budget")))</f>
        <v>Over Budget</v>
      </c>
      <c r="AA98" s="26">
        <f>IF(OR(ISBLANK(Table1[[#This Row],[Actual_Cost_ZAR]]),ISBLANK(Table1[[#This Row],[Budget_ZAR]])),0,Table1[[#This Row],[Actual_Cost_ZAR]]-Table1[[#This Row],[Budget_ZAR]])</f>
        <v>136280.96999999974</v>
      </c>
      <c r="AB98" s="9">
        <f>IF(OR(Table1[[#This Row],[Cost_Variance]]="",Table1[[#This Row],[Budget_ZAR]]=""),0,Table1[[#This Row],[Cost_Variance]]/Table1[[#This Row],[Budget_ZAR]])</f>
        <v>5.8981607988015917E-2</v>
      </c>
      <c r="AC98" t="str">
        <f>IF(Table1[[#This Row],[Last_Updated]] = "","Missing Date",IF(Table1[[#This Row],[Last_Updated]]=_xlfn.MAXIFS(Table1[Last_Updated],Table1[Project_ID],Table1[[#This Row],[Project_ID]]),"Latest","Older"))</f>
        <v>Older</v>
      </c>
      <c r="AD98">
        <f>COUNTIFS(Table1[Project_ID],Table1[[#This Row],[Project_ID]],Table1[Last_Updated],"&gt;0")</f>
        <v>4</v>
      </c>
      <c r="AE98">
        <f>COUNTIFS(Table1[Project_ID],Table1[[#This Row],[Project_ID]],Table1[Latest_Record_Flag],"Latest")</f>
        <v>1</v>
      </c>
      <c r="AF98" t="str">
        <f>IF(Table1[[#This Row],[Latest_Count]]&gt;1,"Potential Duplicate -Review","Unique")</f>
        <v>Unique</v>
      </c>
      <c r="AG98" t="str">
        <f>IF(Table1[[#This Row],[Latest_Record_Flag]]&lt;&gt;"Latest","",IF(Table1[[#This Row],[Latest_Count]]&gt;1,"Review - Tied Latest Date", "OK"))</f>
        <v/>
      </c>
    </row>
    <row r="99" spans="1:33" x14ac:dyDescent="0.25">
      <c r="A99" s="2" t="s">
        <v>245</v>
      </c>
      <c r="B99" s="2" t="s">
        <v>131</v>
      </c>
      <c r="C99" s="2" t="s">
        <v>246</v>
      </c>
      <c r="D99" s="2" t="s">
        <v>37</v>
      </c>
      <c r="E99" s="2" t="s">
        <v>94</v>
      </c>
      <c r="F99" s="2" t="s">
        <v>30</v>
      </c>
      <c r="G99" s="2" t="s">
        <v>60</v>
      </c>
      <c r="H99" s="2" t="s">
        <v>65</v>
      </c>
      <c r="I99" s="5">
        <v>45724</v>
      </c>
      <c r="J99" s="2">
        <v>172</v>
      </c>
      <c r="K99" s="2">
        <v>202</v>
      </c>
      <c r="L99" s="14">
        <v>6112513.75</v>
      </c>
      <c r="M99" s="14" t="str">
        <f>IF(Table1[[#This Row],[Budget_ZAR]]="", "Missing", "Present")</f>
        <v>Present</v>
      </c>
      <c r="N99" s="14">
        <v>5713922.5</v>
      </c>
      <c r="O99" s="14" t="str">
        <f>IF(Table1[[#This Row],[Actual_Cost_ZAR]]="","Missing","Present")</f>
        <v>Present</v>
      </c>
      <c r="P99"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99" s="2">
        <v>85</v>
      </c>
      <c r="R99" s="2" t="s">
        <v>54</v>
      </c>
      <c r="S99" s="2" t="str" cm="1">
        <f t="array" ref="S99">IF(Table1[[#This Row],[Progress_Percent]]="unknown","Unknown",_xlfn.IFS(Table1[[#This Row],[Progress_Percent]]&lt;=10,"Planning",Table1[[#This Row],[Progress_Percent]]&lt;100, "In Progress",Table1[[#This Row],[Progress_Percent]]=100,"Completed"))</f>
        <v>In Progress</v>
      </c>
      <c r="T99" s="2" t="str">
        <f>IF(Table1[[#This Row],[Progress_Percent]]="unknown","Unknown",IF(Table1[[#This Row],[Project_Status]]="On Hold","Review",IF(Table1[[#This Row],[Project_Status]]=Table1[[#This Row],[Project_Expected_Status]],"OK","Mismatch")))</f>
        <v>Mismatch</v>
      </c>
      <c r="U99" s="5">
        <v>45804</v>
      </c>
      <c r="V99">
        <f>Table1[[#This Row],[Actual_Duration_Days]]-Table1[[#This Row],[Planned_Duration_Days]]</f>
        <v>30</v>
      </c>
      <c r="W99" t="str" cm="1">
        <f t="array" ref="W99">_xlfn.IFS(Table1[[#This Row],[Schedule_Variance]]&gt;0,"Behind Schedule",Table1[[#This Row],[Schedule_Variance]]&lt;0,"Ahead of Schedule",Table1[[#This Row],[Schedule_Variance]]=0,"On Schedule")</f>
        <v>Behind Schedule</v>
      </c>
      <c r="X99" s="26">
        <f>IF(OR(ISBLANK(Table1[[#This Row],[Actual_Cost_ZAR]])),"",Table1[[#This Row],[Actual_Cost_ZAR]]-Table1[[#This Row],[Budget_ZAR]])</f>
        <v>-398591.25</v>
      </c>
      <c r="Y99" s="9">
        <f>IF(OR(Table1[[#This Row],[Cost_Variance]]="",Table1[[#This Row],[Budget_ZAR]]=""),"",Table1[[#This Row],[Cost_Variance]]/Table1[[#This Row],[Budget_ZAR]])</f>
        <v>-6.5209055766950214E-2</v>
      </c>
      <c r="Z99" t="str">
        <f>IF(OR(Table1[[#This Row],[Budget_ZAR]]="",Table1[[#This Row],[Actual_Cost_ZAR]]=""),"Missing Data",IF(Table1[[#This Row],[Cost_Variance]]&lt;0,"Under Budget",IF(Table1[[#This Row],[Cost_Variance]]=0,"On Budget","Over Budget")))</f>
        <v>Under Budget</v>
      </c>
      <c r="AA99" s="26">
        <f>IF(OR(ISBLANK(Table1[[#This Row],[Actual_Cost_ZAR]]),ISBLANK(Table1[[#This Row],[Budget_ZAR]])),0,Table1[[#This Row],[Actual_Cost_ZAR]]-Table1[[#This Row],[Budget_ZAR]])</f>
        <v>-398591.25</v>
      </c>
      <c r="AB99" s="9">
        <f>IF(OR(Table1[[#This Row],[Cost_Variance]]="",Table1[[#This Row],[Budget_ZAR]]=""),0,Table1[[#This Row],[Cost_Variance]]/Table1[[#This Row],[Budget_ZAR]])</f>
        <v>-6.5209055766950214E-2</v>
      </c>
      <c r="AC99" t="str">
        <f>IF(Table1[[#This Row],[Last_Updated]] = "","Missing Date",IF(Table1[[#This Row],[Last_Updated]]=_xlfn.MAXIFS(Table1[Last_Updated],Table1[Project_ID],Table1[[#This Row],[Project_ID]]),"Latest","Older"))</f>
        <v>Older</v>
      </c>
      <c r="AD99">
        <f>COUNTIFS(Table1[Project_ID],Table1[[#This Row],[Project_ID]],Table1[Last_Updated],"&gt;0")</f>
        <v>7</v>
      </c>
      <c r="AE99">
        <f>COUNTIFS(Table1[Project_ID],Table1[[#This Row],[Project_ID]],Table1[Latest_Record_Flag],"Latest")</f>
        <v>1</v>
      </c>
      <c r="AF99" t="str">
        <f>IF(Table1[[#This Row],[Latest_Count]]&gt;1,"Potential Duplicate -Review","Unique")</f>
        <v>Unique</v>
      </c>
      <c r="AG99" t="str">
        <f>IF(Table1[[#This Row],[Latest_Record_Flag]]&lt;&gt;"Latest","",IF(Table1[[#This Row],[Latest_Count]]&gt;1,"Review - Tied Latest Date", "OK"))</f>
        <v/>
      </c>
    </row>
    <row r="100" spans="1:33" x14ac:dyDescent="0.25">
      <c r="A100" s="2" t="s">
        <v>247</v>
      </c>
      <c r="B100" s="2" t="s">
        <v>63</v>
      </c>
      <c r="C100" s="2" t="s">
        <v>67</v>
      </c>
      <c r="D100" s="2" t="s">
        <v>28</v>
      </c>
      <c r="E100" s="2" t="s">
        <v>68</v>
      </c>
      <c r="F100" s="2" t="s">
        <v>48</v>
      </c>
      <c r="G100" s="2" t="s">
        <v>95</v>
      </c>
      <c r="H100" s="2" t="s">
        <v>61</v>
      </c>
      <c r="I100" s="5">
        <v>45767</v>
      </c>
      <c r="J100" s="2">
        <v>107</v>
      </c>
      <c r="K100" s="2">
        <v>152</v>
      </c>
      <c r="L100" s="14">
        <v>5038476.3</v>
      </c>
      <c r="M100" s="14" t="str">
        <f>IF(Table1[[#This Row],[Budget_ZAR]]="", "Missing", "Present")</f>
        <v>Present</v>
      </c>
      <c r="N100" s="14">
        <v>4413718.42</v>
      </c>
      <c r="O100" s="14" t="str">
        <f>IF(Table1[[#This Row],[Actual_Cost_ZAR]]="","Missing","Present")</f>
        <v>Present</v>
      </c>
      <c r="P100" s="14" t="str">
        <f>IF(AND(Table1[[#This Row],[Budget_Missing]]="Present",Table1[[#This Row],[Actual_Missing]]="Present"),"Complete",
IF(AND(Table1[[#This Row],[Budget_Missing]]="Missing",Table1[[#This Row],[Actual_Missing]]="Present"),"Budget Missing",
IF(AND(Table1[[#This Row],[Budget_Missing]]="Present",Table1[[#This Row],[Actual_Missing]]="Missing"),"Actual Cost Missing",
IF(AND(Table1[[#This Row],[Budget_Missing]]="Missing",Table1[[#This Row],[Actual_Missing]]="Missing"),"Both Missing","Review"))))</f>
        <v>Complete</v>
      </c>
      <c r="Q100" s="2">
        <v>25</v>
      </c>
      <c r="R100" s="2" t="s">
        <v>49</v>
      </c>
      <c r="S100" s="2" t="str" cm="1">
        <f t="array" ref="S100">IF(Table1[[#This Row],[Progress_Percent]]="unknown","Unknown",_xlfn.IFS(Table1[[#This Row],[Progress_Percent]]&lt;=10,"Planning",Table1[[#This Row],[Progress_Percent]]&lt;100, "In Progress",Table1[[#This Row],[Progress_Percent]]=100,"Completed"))</f>
        <v>In Progress</v>
      </c>
      <c r="T100" s="2" t="str">
        <f>IF(Table1[[#This Row],[Progress_Percent]]="unknown","Unknown",IF(Table1[[#This Row],[Project_Status]]="On Hold","Review",IF(Table1[[#This Row],[Project_Status]]=Table1[[#This Row],[Project_Expected_Status]],"OK","Mismatch")))</f>
        <v>OK</v>
      </c>
      <c r="U100" s="5">
        <v>45937</v>
      </c>
      <c r="V100">
        <f>Table1[[#This Row],[Actual_Duration_Days]]-Table1[[#This Row],[Planned_Duration_Days]]</f>
        <v>45</v>
      </c>
      <c r="W100" t="str" cm="1">
        <f t="array" ref="W100">_xlfn.IFS(Table1[[#This Row],[Schedule_Variance]]&gt;0,"Behind Schedule",Table1[[#This Row],[Schedule_Variance]]&lt;0,"Ahead of Schedule",Table1[[#This Row],[Schedule_Variance]]=0,"On Schedule")</f>
        <v>Behind Schedule</v>
      </c>
      <c r="X100" s="26">
        <f>IF(OR(ISBLANK(Table1[[#This Row],[Actual_Cost_ZAR]])),"",Table1[[#This Row],[Actual_Cost_ZAR]]-Table1[[#This Row],[Budget_ZAR]])</f>
        <v>-624757.87999999989</v>
      </c>
      <c r="Y100" s="9">
        <f>IF(OR(Table1[[#This Row],[Cost_Variance]]="",Table1[[#This Row],[Budget_ZAR]]=""),"",Table1[[#This Row],[Cost_Variance]]/Table1[[#This Row],[Budget_ZAR]])</f>
        <v>-0.12399738389163405</v>
      </c>
      <c r="Z100" t="str">
        <f>IF(OR(Table1[[#This Row],[Budget_ZAR]]="",Table1[[#This Row],[Actual_Cost_ZAR]]=""),"Missing Data",IF(Table1[[#This Row],[Cost_Variance]]&lt;0,"Under Budget",IF(Table1[[#This Row],[Cost_Variance]]=0,"On Budget","Over Budget")))</f>
        <v>Under Budget</v>
      </c>
      <c r="AA100" s="26">
        <f>IF(OR(ISBLANK(Table1[[#This Row],[Actual_Cost_ZAR]]),ISBLANK(Table1[[#This Row],[Budget_ZAR]])),0,Table1[[#This Row],[Actual_Cost_ZAR]]-Table1[[#This Row],[Budget_ZAR]])</f>
        <v>-624757.87999999989</v>
      </c>
      <c r="AB100" s="9">
        <f>IF(OR(Table1[[#This Row],[Cost_Variance]]="",Table1[[#This Row],[Budget_ZAR]]=""),0,Table1[[#This Row],[Cost_Variance]]/Table1[[#This Row],[Budget_ZAR]])</f>
        <v>-0.12399738389163405</v>
      </c>
      <c r="AC100" t="str">
        <f>IF(Table1[[#This Row],[Last_Updated]] = "","Missing Date",IF(Table1[[#This Row],[Last_Updated]]=_xlfn.MAXIFS(Table1[Last_Updated],Table1[Project_ID],Table1[[#This Row],[Project_ID]]),"Latest","Older"))</f>
        <v>Older</v>
      </c>
      <c r="AD100">
        <f>COUNTIFS(Table1[Project_ID],Table1[[#This Row],[Project_ID]],Table1[Last_Updated],"&gt;0")</f>
        <v>4</v>
      </c>
      <c r="AE100">
        <f>COUNTIFS(Table1[Project_ID],Table1[[#This Row],[Project_ID]],Table1[Latest_Record_Flag],"Latest")</f>
        <v>1</v>
      </c>
      <c r="AF100" t="str">
        <f>IF(Table1[[#This Row],[Latest_Count]]&gt;1,"Potential Duplicate -Review","Unique")</f>
        <v>Unique</v>
      </c>
      <c r="AG100" t="str">
        <f>IF(Table1[[#This Row],[Latest_Record_Flag]]&lt;&gt;"Latest","",IF(Table1[[#This Row],[Latest_Count]]&gt;1,"Review - Tied Latest Date", "OK"))</f>
        <v/>
      </c>
    </row>
    <row r="102" spans="1:33" s="10" customFormat="1" x14ac:dyDescent="0.25">
      <c r="I102" s="20"/>
      <c r="K102" s="21"/>
      <c r="L102" s="21"/>
      <c r="M102" s="21"/>
      <c r="N102" s="21"/>
      <c r="O102" s="21"/>
      <c r="P102" s="21"/>
      <c r="U102" s="20"/>
      <c r="V102" s="10">
        <f>AVERAGE(Table1[Schedule_Variance])</f>
        <v>17.030303030303031</v>
      </c>
      <c r="X102" s="28">
        <f>SUM(Table1[Cost_Variance])</f>
        <v>30610763.500000004</v>
      </c>
      <c r="Z102" s="10">
        <f>COUNTIF(Table1[Budget_Status],"Over Budget")</f>
        <v>46</v>
      </c>
      <c r="AA102" s="28"/>
      <c r="AB102" s="30"/>
    </row>
    <row r="104" spans="1:33" x14ac:dyDescent="0.25">
      <c r="L104" s="15">
        <f>SUBTOTAL(109,L3:L100)</f>
        <v>309616714.22999996</v>
      </c>
      <c r="N104" s="26">
        <f>SUBTOTAL(109,N3:N100)</f>
        <v>322980405.19000012</v>
      </c>
    </row>
    <row r="105" spans="1:33" x14ac:dyDescent="0.25">
      <c r="AA105" s="26">
        <f>SUBTOTAL(109,AA3:AA100)</f>
        <v>7127514.0399999982</v>
      </c>
    </row>
    <row r="106" spans="1:33" x14ac:dyDescent="0.25">
      <c r="M106" s="15">
        <f>N104-L104</f>
        <v>13363690.960000157</v>
      </c>
    </row>
  </sheetData>
  <conditionalFormatting sqref="A1:A1048576">
    <cfRule type="duplicateValues" dxfId="1" priority="1"/>
    <cfRule type="duplicateValues" dxfId="0" priority="2"/>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13576-B626-469B-9C7E-0E0A4D86A747}">
  <dimension ref="A1:D5"/>
  <sheetViews>
    <sheetView workbookViewId="0">
      <selection activeCell="B11" sqref="B11"/>
    </sheetView>
  </sheetViews>
  <sheetFormatPr defaultRowHeight="15" x14ac:dyDescent="0.25"/>
  <cols>
    <col min="1" max="1" width="15.7109375" bestFit="1" customWidth="1"/>
    <col min="2" max="2" width="75.28515625" bestFit="1" customWidth="1"/>
    <col min="3" max="3" width="15.28515625" bestFit="1" customWidth="1"/>
    <col min="4" max="4" width="106.5703125" bestFit="1" customWidth="1"/>
  </cols>
  <sheetData>
    <row r="1" spans="1:4" s="23" customFormat="1" x14ac:dyDescent="0.25">
      <c r="A1" s="23" t="s">
        <v>382</v>
      </c>
      <c r="B1" s="23" t="s">
        <v>383</v>
      </c>
      <c r="C1" s="23" t="s">
        <v>384</v>
      </c>
      <c r="D1" s="23" t="s">
        <v>385</v>
      </c>
    </row>
    <row r="2" spans="1:4" ht="31.5" customHeight="1" x14ac:dyDescent="0.25">
      <c r="A2" t="s">
        <v>397</v>
      </c>
      <c r="B2" t="s">
        <v>399</v>
      </c>
      <c r="D2" t="s">
        <v>396</v>
      </c>
    </row>
    <row r="3" spans="1:4" ht="31.5" customHeight="1" x14ac:dyDescent="0.25">
      <c r="A3" t="s">
        <v>398</v>
      </c>
      <c r="B3" t="s">
        <v>400</v>
      </c>
      <c r="D3" t="s">
        <v>401</v>
      </c>
    </row>
    <row r="4" spans="1:4" ht="31.5" customHeight="1" x14ac:dyDescent="0.25">
      <c r="A4" t="s">
        <v>402</v>
      </c>
      <c r="B4" t="s">
        <v>403</v>
      </c>
      <c r="D4" t="s">
        <v>404</v>
      </c>
    </row>
    <row r="5" spans="1:4" ht="30" customHeight="1" x14ac:dyDescent="0.25">
      <c r="A5" t="s">
        <v>405</v>
      </c>
      <c r="B5" t="s">
        <v>406</v>
      </c>
      <c r="D5" t="s">
        <v>407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D155D-E2CF-4067-B39F-B56AACB2F0BC}">
  <dimension ref="A1:B10"/>
  <sheetViews>
    <sheetView topLeftCell="A4" workbookViewId="0">
      <selection activeCell="A11" sqref="A11"/>
    </sheetView>
  </sheetViews>
  <sheetFormatPr defaultColWidth="20.5703125" defaultRowHeight="15" x14ac:dyDescent="0.25"/>
  <cols>
    <col min="1" max="1" width="33.42578125" bestFit="1" customWidth="1"/>
    <col min="2" max="2" width="133.7109375" bestFit="1" customWidth="1"/>
  </cols>
  <sheetData>
    <row r="1" spans="1:2" s="23" customFormat="1" x14ac:dyDescent="0.25">
      <c r="A1" s="23" t="s">
        <v>386</v>
      </c>
      <c r="B1" s="23" t="s">
        <v>387</v>
      </c>
    </row>
    <row r="2" spans="1:2" ht="32.25" customHeight="1" x14ac:dyDescent="0.25">
      <c r="A2" t="s">
        <v>388</v>
      </c>
      <c r="B2" t="s">
        <v>423</v>
      </c>
    </row>
    <row r="3" spans="1:2" ht="30.75" customHeight="1" x14ac:dyDescent="0.25">
      <c r="A3" t="s">
        <v>389</v>
      </c>
      <c r="B3" t="s">
        <v>390</v>
      </c>
    </row>
    <row r="4" spans="1:2" ht="29.25" customHeight="1" x14ac:dyDescent="0.25">
      <c r="A4" t="s">
        <v>391</v>
      </c>
      <c r="B4" t="s">
        <v>392</v>
      </c>
    </row>
    <row r="5" spans="1:2" ht="32.25" customHeight="1" x14ac:dyDescent="0.25">
      <c r="A5" t="s">
        <v>393</v>
      </c>
      <c r="B5" t="s">
        <v>394</v>
      </c>
    </row>
    <row r="6" spans="1:2" ht="32.25" customHeight="1" x14ac:dyDescent="0.25">
      <c r="A6" t="s">
        <v>474</v>
      </c>
      <c r="B6" t="s">
        <v>475</v>
      </c>
    </row>
    <row r="7" spans="1:2" ht="30" customHeight="1" x14ac:dyDescent="0.25">
      <c r="A7" t="s">
        <v>476</v>
      </c>
      <c r="B7" t="s">
        <v>395</v>
      </c>
    </row>
    <row r="8" spans="1:2" ht="18" customHeight="1" x14ac:dyDescent="0.25"/>
    <row r="9" spans="1:2" s="10" customFormat="1" ht="30.75" customHeight="1" x14ac:dyDescent="0.25">
      <c r="A9" s="10" t="s">
        <v>472</v>
      </c>
    </row>
    <row r="10" spans="1:2" s="10" customFormat="1" ht="29.25" customHeight="1" x14ac:dyDescent="0.25">
      <c r="A10" s="10" t="s">
        <v>473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FA15D-3C92-4529-947E-B24573832537}">
  <dimension ref="A1:B9"/>
  <sheetViews>
    <sheetView tabSelected="1" workbookViewId="0">
      <selection sqref="A1:XFD1048576"/>
    </sheetView>
  </sheetViews>
  <sheetFormatPr defaultRowHeight="15" x14ac:dyDescent="0.25"/>
  <cols>
    <col min="1" max="1" width="24.85546875" bestFit="1" customWidth="1"/>
    <col min="2" max="2" width="208" bestFit="1" customWidth="1"/>
  </cols>
  <sheetData>
    <row r="1" spans="1:2" s="10" customFormat="1" x14ac:dyDescent="0.25">
      <c r="A1" s="10" t="s">
        <v>408</v>
      </c>
      <c r="B1" s="10" t="s">
        <v>409</v>
      </c>
    </row>
    <row r="2" spans="1:2" x14ac:dyDescent="0.25">
      <c r="A2" t="s">
        <v>410</v>
      </c>
      <c r="B2" t="s">
        <v>411</v>
      </c>
    </row>
    <row r="3" spans="1:2" x14ac:dyDescent="0.25">
      <c r="A3" t="s">
        <v>422</v>
      </c>
      <c r="B3" t="s">
        <v>426</v>
      </c>
    </row>
    <row r="4" spans="1:2" x14ac:dyDescent="0.25">
      <c r="A4" t="s">
        <v>412</v>
      </c>
      <c r="B4" t="s">
        <v>424</v>
      </c>
    </row>
    <row r="5" spans="1:2" x14ac:dyDescent="0.25">
      <c r="A5" t="s">
        <v>413</v>
      </c>
      <c r="B5" t="s">
        <v>425</v>
      </c>
    </row>
    <row r="6" spans="1:2" x14ac:dyDescent="0.25">
      <c r="A6" t="s">
        <v>414</v>
      </c>
      <c r="B6" t="s">
        <v>415</v>
      </c>
    </row>
    <row r="7" spans="1:2" x14ac:dyDescent="0.25">
      <c r="A7" t="s">
        <v>416</v>
      </c>
      <c r="B7" t="s">
        <v>417</v>
      </c>
    </row>
    <row r="8" spans="1:2" x14ac:dyDescent="0.25">
      <c r="A8" t="s">
        <v>418</v>
      </c>
      <c r="B8" t="s">
        <v>419</v>
      </c>
    </row>
    <row r="9" spans="1:2" x14ac:dyDescent="0.25">
      <c r="A9" t="s">
        <v>420</v>
      </c>
      <c r="B9" t="s">
        <v>421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8A0E4-6E8C-450A-8728-BBBBB884FBFA}">
  <dimension ref="A3:F128"/>
  <sheetViews>
    <sheetView workbookViewId="0">
      <selection activeCell="C130" sqref="C130"/>
    </sheetView>
  </sheetViews>
  <sheetFormatPr defaultRowHeight="15" x14ac:dyDescent="0.25"/>
  <cols>
    <col min="1" max="1" width="15" bestFit="1" customWidth="1"/>
    <col min="2" max="2" width="21.5703125" bestFit="1" customWidth="1"/>
    <col min="3" max="3" width="16.7109375" bestFit="1" customWidth="1"/>
    <col min="4" max="4" width="21" bestFit="1" customWidth="1"/>
    <col min="5" max="5" width="18.7109375" bestFit="1" customWidth="1"/>
    <col min="6" max="6" width="29.42578125" bestFit="1" customWidth="1"/>
  </cols>
  <sheetData>
    <row r="3" spans="1:4" x14ac:dyDescent="0.25">
      <c r="A3" s="31" t="s">
        <v>373</v>
      </c>
      <c r="B3" s="31"/>
    </row>
    <row r="4" spans="1:4" x14ac:dyDescent="0.25">
      <c r="A4" s="17" t="s">
        <v>14</v>
      </c>
      <c r="B4" t="s">
        <v>365</v>
      </c>
    </row>
    <row r="5" spans="1:4" x14ac:dyDescent="0.25">
      <c r="A5" s="18" t="s">
        <v>54</v>
      </c>
      <c r="B5">
        <v>15</v>
      </c>
    </row>
    <row r="6" spans="1:4" x14ac:dyDescent="0.25">
      <c r="A6" s="18" t="s">
        <v>49</v>
      </c>
      <c r="B6">
        <v>11</v>
      </c>
    </row>
    <row r="7" spans="1:4" x14ac:dyDescent="0.25">
      <c r="A7" s="18" t="s">
        <v>33</v>
      </c>
      <c r="B7">
        <v>17</v>
      </c>
    </row>
    <row r="8" spans="1:4" x14ac:dyDescent="0.25">
      <c r="A8" s="18" t="s">
        <v>24</v>
      </c>
      <c r="B8">
        <v>15</v>
      </c>
    </row>
    <row r="9" spans="1:4" x14ac:dyDescent="0.25">
      <c r="A9" s="18" t="s">
        <v>279</v>
      </c>
      <c r="B9">
        <v>20</v>
      </c>
    </row>
    <row r="10" spans="1:4" x14ac:dyDescent="0.25">
      <c r="A10" s="18"/>
    </row>
    <row r="11" spans="1:4" x14ac:dyDescent="0.25">
      <c r="A11" s="18"/>
    </row>
    <row r="12" spans="1:4" x14ac:dyDescent="0.25">
      <c r="A12" s="31" t="s">
        <v>372</v>
      </c>
      <c r="B12" s="31"/>
      <c r="C12" s="31"/>
      <c r="D12" s="31"/>
    </row>
    <row r="13" spans="1:4" x14ac:dyDescent="0.25">
      <c r="A13" s="17" t="s">
        <v>4</v>
      </c>
      <c r="B13" t="s">
        <v>353</v>
      </c>
      <c r="C13" t="s">
        <v>281</v>
      </c>
      <c r="D13" t="s">
        <v>348</v>
      </c>
    </row>
    <row r="14" spans="1:4" x14ac:dyDescent="0.25">
      <c r="A14" s="18" t="s">
        <v>85</v>
      </c>
      <c r="B14">
        <v>11</v>
      </c>
      <c r="C14" s="19">
        <v>15.866666666666667</v>
      </c>
      <c r="D14">
        <v>15</v>
      </c>
    </row>
    <row r="15" spans="1:4" x14ac:dyDescent="0.25">
      <c r="A15" s="18" t="s">
        <v>68</v>
      </c>
      <c r="B15">
        <v>14</v>
      </c>
      <c r="C15" s="19">
        <v>16.28</v>
      </c>
      <c r="D15">
        <v>25</v>
      </c>
    </row>
    <row r="16" spans="1:4" x14ac:dyDescent="0.25">
      <c r="A16" s="18" t="s">
        <v>29</v>
      </c>
      <c r="B16">
        <v>11</v>
      </c>
      <c r="C16" s="19">
        <v>19.347826086956523</v>
      </c>
      <c r="D16">
        <v>23</v>
      </c>
    </row>
    <row r="17" spans="1:6" x14ac:dyDescent="0.25">
      <c r="A17" s="18" t="s">
        <v>20</v>
      </c>
      <c r="B17">
        <v>11</v>
      </c>
      <c r="C17" s="19">
        <v>12.294117647058824</v>
      </c>
      <c r="D17">
        <v>17</v>
      </c>
    </row>
    <row r="18" spans="1:6" x14ac:dyDescent="0.25">
      <c r="A18" s="18" t="s">
        <v>43</v>
      </c>
      <c r="B18">
        <v>12</v>
      </c>
      <c r="C18" s="19">
        <v>20.368421052631579</v>
      </c>
      <c r="D18">
        <v>19</v>
      </c>
    </row>
    <row r="19" spans="1:6" x14ac:dyDescent="0.25">
      <c r="A19" s="18" t="s">
        <v>279</v>
      </c>
      <c r="B19">
        <v>20</v>
      </c>
      <c r="C19">
        <v>17.030303030303031</v>
      </c>
      <c r="D19">
        <v>99</v>
      </c>
    </row>
    <row r="20" spans="1:6" x14ac:dyDescent="0.25">
      <c r="A20" s="18"/>
    </row>
    <row r="21" spans="1:6" x14ac:dyDescent="0.25">
      <c r="A21" s="18"/>
    </row>
    <row r="22" spans="1:6" x14ac:dyDescent="0.25">
      <c r="A22" s="31" t="s">
        <v>371</v>
      </c>
      <c r="B22" s="31"/>
    </row>
    <row r="23" spans="1:6" x14ac:dyDescent="0.25">
      <c r="A23" s="17" t="s">
        <v>271</v>
      </c>
      <c r="B23" t="s">
        <v>353</v>
      </c>
    </row>
    <row r="24" spans="1:6" x14ac:dyDescent="0.25">
      <c r="A24" s="18" t="s">
        <v>338</v>
      </c>
      <c r="B24">
        <v>11</v>
      </c>
    </row>
    <row r="25" spans="1:6" x14ac:dyDescent="0.25">
      <c r="A25" s="18" t="s">
        <v>339</v>
      </c>
      <c r="B25">
        <v>20</v>
      </c>
    </row>
    <row r="26" spans="1:6" x14ac:dyDescent="0.25">
      <c r="A26" s="18" t="s">
        <v>340</v>
      </c>
      <c r="B26">
        <v>3</v>
      </c>
    </row>
    <row r="27" spans="1:6" x14ac:dyDescent="0.25">
      <c r="A27" s="18" t="s">
        <v>279</v>
      </c>
      <c r="B27">
        <v>20</v>
      </c>
    </row>
    <row r="28" spans="1:6" x14ac:dyDescent="0.25">
      <c r="A28" s="18"/>
    </row>
    <row r="29" spans="1:6" x14ac:dyDescent="0.25">
      <c r="A29" s="18"/>
    </row>
    <row r="30" spans="1:6" x14ac:dyDescent="0.25">
      <c r="A30" s="31" t="s">
        <v>370</v>
      </c>
      <c r="B30" s="31"/>
      <c r="C30" s="31"/>
      <c r="D30" s="31"/>
      <c r="E30" s="31"/>
      <c r="F30" s="31"/>
    </row>
    <row r="31" spans="1:6" x14ac:dyDescent="0.25">
      <c r="A31" s="17" t="s">
        <v>4</v>
      </c>
      <c r="B31" t="s">
        <v>353</v>
      </c>
      <c r="C31" t="s">
        <v>354</v>
      </c>
      <c r="D31" t="s">
        <v>356</v>
      </c>
      <c r="E31" t="s">
        <v>355</v>
      </c>
      <c r="F31" t="s">
        <v>351</v>
      </c>
    </row>
    <row r="32" spans="1:6" x14ac:dyDescent="0.25">
      <c r="A32" s="18" t="s">
        <v>85</v>
      </c>
      <c r="B32">
        <v>11</v>
      </c>
      <c r="C32" s="26">
        <v>44522221.780000001</v>
      </c>
      <c r="D32" s="26">
        <v>37049262.240000002</v>
      </c>
      <c r="E32" s="26">
        <v>91685.60999999952</v>
      </c>
      <c r="F32" s="25">
        <v>3.0717548284085971E-2</v>
      </c>
    </row>
    <row r="33" spans="1:6" x14ac:dyDescent="0.25">
      <c r="A33" s="18" t="s">
        <v>68</v>
      </c>
      <c r="B33">
        <v>14</v>
      </c>
      <c r="C33" s="26">
        <v>78058070.340000004</v>
      </c>
      <c r="D33" s="26">
        <v>82348900.019999996</v>
      </c>
      <c r="E33" s="26">
        <v>-1062767.8200000003</v>
      </c>
      <c r="F33" s="25">
        <v>-4.927512618440261E-3</v>
      </c>
    </row>
    <row r="34" spans="1:6" x14ac:dyDescent="0.25">
      <c r="A34" s="18" t="s">
        <v>29</v>
      </c>
      <c r="B34">
        <v>11</v>
      </c>
      <c r="C34" s="26">
        <v>85538614.310000002</v>
      </c>
      <c r="D34" s="26">
        <v>85793731.749999985</v>
      </c>
      <c r="E34" s="26">
        <v>255117.44000000088</v>
      </c>
      <c r="F34" s="25">
        <v>5.8429320602025056E-3</v>
      </c>
    </row>
    <row r="35" spans="1:6" x14ac:dyDescent="0.25">
      <c r="A35" s="18" t="s">
        <v>20</v>
      </c>
      <c r="B35">
        <v>11</v>
      </c>
      <c r="C35" s="26">
        <v>36783834.399999999</v>
      </c>
      <c r="D35" s="26">
        <v>40919556.169999994</v>
      </c>
      <c r="E35" s="26">
        <v>1994194.430000002</v>
      </c>
      <c r="F35" s="25">
        <v>3.3214417521316986E-2</v>
      </c>
    </row>
    <row r="36" spans="1:6" x14ac:dyDescent="0.25">
      <c r="A36" s="18" t="s">
        <v>43</v>
      </c>
      <c r="B36">
        <v>12</v>
      </c>
      <c r="C36" s="26">
        <v>66359040.509999998</v>
      </c>
      <c r="D36" s="26">
        <v>76868955.010000005</v>
      </c>
      <c r="E36" s="26">
        <v>5849284.3799999999</v>
      </c>
      <c r="F36" s="25">
        <v>5.2156123522547615E-2</v>
      </c>
    </row>
    <row r="37" spans="1:6" x14ac:dyDescent="0.25">
      <c r="A37" s="18" t="s">
        <v>279</v>
      </c>
      <c r="B37">
        <v>20</v>
      </c>
      <c r="C37" s="26">
        <v>311261781.33999997</v>
      </c>
      <c r="D37" s="26">
        <v>322980405.19000012</v>
      </c>
      <c r="E37" s="26">
        <v>7127514.0399999982</v>
      </c>
      <c r="F37" s="25">
        <v>2.0480548393694304E-2</v>
      </c>
    </row>
    <row r="38" spans="1:6" x14ac:dyDescent="0.25">
      <c r="A38" s="18"/>
      <c r="C38" s="26"/>
      <c r="D38" s="26"/>
      <c r="E38" s="26"/>
      <c r="F38" s="25"/>
    </row>
    <row r="39" spans="1:6" x14ac:dyDescent="0.25">
      <c r="A39" s="18"/>
      <c r="C39" s="26"/>
      <c r="D39" s="26"/>
      <c r="E39" s="26"/>
      <c r="F39" s="25"/>
    </row>
    <row r="40" spans="1:6" x14ac:dyDescent="0.25">
      <c r="A40" s="31" t="s">
        <v>369</v>
      </c>
      <c r="B40" s="31"/>
      <c r="C40" s="32"/>
      <c r="D40" s="32"/>
      <c r="E40" s="32"/>
      <c r="F40" s="33"/>
    </row>
    <row r="41" spans="1:6" x14ac:dyDescent="0.25">
      <c r="A41" s="17" t="s">
        <v>276</v>
      </c>
      <c r="B41" t="s" vm="1">
        <v>77</v>
      </c>
      <c r="C41" s="26"/>
      <c r="D41" s="26"/>
      <c r="E41" s="26"/>
      <c r="F41" s="25"/>
    </row>
    <row r="42" spans="1:6" x14ac:dyDescent="0.25">
      <c r="A42" s="18"/>
      <c r="C42" s="26"/>
      <c r="D42" s="26"/>
      <c r="E42" s="26"/>
      <c r="F42" s="25"/>
    </row>
    <row r="43" spans="1:6" x14ac:dyDescent="0.25">
      <c r="A43" s="17" t="s">
        <v>4</v>
      </c>
      <c r="B43" t="s">
        <v>353</v>
      </c>
      <c r="C43" t="s">
        <v>354</v>
      </c>
      <c r="D43" t="s">
        <v>356</v>
      </c>
      <c r="E43" t="s">
        <v>355</v>
      </c>
      <c r="F43" t="s">
        <v>351</v>
      </c>
    </row>
    <row r="44" spans="1:6" x14ac:dyDescent="0.25">
      <c r="A44" s="18" t="s">
        <v>85</v>
      </c>
      <c r="B44">
        <v>9</v>
      </c>
      <c r="C44" s="26">
        <v>31211479.530000001</v>
      </c>
      <c r="D44" s="26">
        <v>31303165.140000001</v>
      </c>
      <c r="E44" s="26">
        <v>91685.60999999952</v>
      </c>
      <c r="F44" s="25">
        <v>4.6076322426128954E-2</v>
      </c>
    </row>
    <row r="45" spans="1:6" x14ac:dyDescent="0.25">
      <c r="A45" s="18" t="s">
        <v>68</v>
      </c>
      <c r="B45">
        <v>14</v>
      </c>
      <c r="C45" s="26">
        <v>77558940.439999998</v>
      </c>
      <c r="D45" s="26">
        <v>76496172.620000005</v>
      </c>
      <c r="E45" s="26">
        <v>-1062767.8200000003</v>
      </c>
      <c r="F45" s="25">
        <v>-5.5994461573184787E-3</v>
      </c>
    </row>
    <row r="46" spans="1:6" x14ac:dyDescent="0.25">
      <c r="A46" s="18" t="s">
        <v>29</v>
      </c>
      <c r="B46">
        <v>11</v>
      </c>
      <c r="C46" s="26">
        <v>85538614.310000002</v>
      </c>
      <c r="D46" s="26">
        <v>85793731.749999985</v>
      </c>
      <c r="E46" s="26">
        <v>255117.44000000088</v>
      </c>
      <c r="F46" s="25">
        <v>5.8429320602025056E-3</v>
      </c>
    </row>
    <row r="47" spans="1:6" x14ac:dyDescent="0.25">
      <c r="A47" s="18" t="s">
        <v>20</v>
      </c>
      <c r="B47">
        <v>7</v>
      </c>
      <c r="C47" s="26">
        <v>31701566.899999999</v>
      </c>
      <c r="D47" s="26">
        <v>33695761.329999998</v>
      </c>
      <c r="E47" s="26">
        <v>1994194.430000002</v>
      </c>
      <c r="F47" s="25">
        <v>4.7053758155199056E-2</v>
      </c>
    </row>
    <row r="48" spans="1:6" x14ac:dyDescent="0.25">
      <c r="A48" s="18" t="s">
        <v>43</v>
      </c>
      <c r="B48">
        <v>12</v>
      </c>
      <c r="C48" s="26">
        <v>66359040.509999998</v>
      </c>
      <c r="D48" s="26">
        <v>72208324.890000001</v>
      </c>
      <c r="E48" s="26">
        <v>5849284.3799999999</v>
      </c>
      <c r="F48" s="25">
        <v>5.8292138054612037E-2</v>
      </c>
    </row>
    <row r="49" spans="1:6" x14ac:dyDescent="0.25">
      <c r="A49" s="18" t="s">
        <v>279</v>
      </c>
      <c r="B49">
        <v>20</v>
      </c>
      <c r="C49" s="26">
        <v>292369641.69</v>
      </c>
      <c r="D49" s="26">
        <v>299497155.73000008</v>
      </c>
      <c r="E49" s="26">
        <v>7127514.0399999982</v>
      </c>
      <c r="F49" s="25">
        <v>2.4137789178282569E-2</v>
      </c>
    </row>
    <row r="50" spans="1:6" x14ac:dyDescent="0.25">
      <c r="A50" s="18"/>
      <c r="C50" s="26"/>
      <c r="D50" s="26"/>
      <c r="E50" s="26"/>
      <c r="F50" s="25"/>
    </row>
    <row r="51" spans="1:6" x14ac:dyDescent="0.25">
      <c r="A51" s="18"/>
      <c r="C51" s="26"/>
      <c r="D51" s="26"/>
      <c r="E51" s="26"/>
      <c r="F51" s="25"/>
    </row>
    <row r="52" spans="1:6" x14ac:dyDescent="0.25">
      <c r="A52" s="31" t="s">
        <v>368</v>
      </c>
      <c r="B52" s="31"/>
      <c r="C52" s="26"/>
      <c r="D52" s="26"/>
      <c r="E52" s="26"/>
      <c r="F52" s="25"/>
    </row>
    <row r="53" spans="1:6" x14ac:dyDescent="0.25">
      <c r="A53" s="17" t="s">
        <v>269</v>
      </c>
      <c r="B53" t="s">
        <v>353</v>
      </c>
    </row>
    <row r="54" spans="1:6" x14ac:dyDescent="0.25">
      <c r="A54" s="18" t="s">
        <v>341</v>
      </c>
      <c r="B54">
        <v>11</v>
      </c>
    </row>
    <row r="55" spans="1:6" x14ac:dyDescent="0.25">
      <c r="A55" s="18" t="s">
        <v>342</v>
      </c>
      <c r="B55">
        <v>18</v>
      </c>
    </row>
    <row r="56" spans="1:6" x14ac:dyDescent="0.25">
      <c r="A56" s="18" t="s">
        <v>343</v>
      </c>
      <c r="B56">
        <v>17</v>
      </c>
    </row>
    <row r="57" spans="1:6" x14ac:dyDescent="0.25">
      <c r="A57" s="18" t="s">
        <v>279</v>
      </c>
      <c r="B57">
        <v>20</v>
      </c>
    </row>
    <row r="58" spans="1:6" x14ac:dyDescent="0.25">
      <c r="A58" s="18"/>
    </row>
    <row r="59" spans="1:6" x14ac:dyDescent="0.25">
      <c r="A59" s="18"/>
    </row>
    <row r="60" spans="1:6" x14ac:dyDescent="0.25">
      <c r="A60" s="31" t="s">
        <v>367</v>
      </c>
      <c r="B60" s="31"/>
      <c r="C60" s="31"/>
      <c r="D60" s="31"/>
    </row>
    <row r="61" spans="1:6" x14ac:dyDescent="0.25">
      <c r="A61" s="17" t="s">
        <v>6</v>
      </c>
      <c r="B61" t="s">
        <v>353</v>
      </c>
      <c r="C61" t="s">
        <v>281</v>
      </c>
      <c r="D61" t="s">
        <v>344</v>
      </c>
    </row>
    <row r="62" spans="1:6" x14ac:dyDescent="0.25">
      <c r="A62" s="18" t="s">
        <v>60</v>
      </c>
      <c r="B62">
        <v>13</v>
      </c>
      <c r="C62" s="19">
        <v>16.045454545454547</v>
      </c>
      <c r="D62" s="26">
        <v>-77068.753636363603</v>
      </c>
    </row>
    <row r="63" spans="1:6" x14ac:dyDescent="0.25">
      <c r="A63" s="18" t="s">
        <v>31</v>
      </c>
      <c r="B63">
        <v>15</v>
      </c>
      <c r="C63" s="19">
        <v>13.272727272727273</v>
      </c>
      <c r="D63" s="26">
        <v>70687.986818181846</v>
      </c>
    </row>
    <row r="64" spans="1:6" x14ac:dyDescent="0.25">
      <c r="A64" s="18" t="s">
        <v>22</v>
      </c>
      <c r="B64">
        <v>16</v>
      </c>
      <c r="C64" s="19">
        <v>19.559999999999999</v>
      </c>
      <c r="D64" s="26">
        <v>163767.16839999994</v>
      </c>
    </row>
    <row r="65" spans="1:4" x14ac:dyDescent="0.25">
      <c r="A65" s="18" t="s">
        <v>95</v>
      </c>
      <c r="B65">
        <v>8</v>
      </c>
      <c r="C65" s="19">
        <v>25.222222222222221</v>
      </c>
      <c r="D65" s="26">
        <v>-78786.479999999952</v>
      </c>
    </row>
    <row r="66" spans="1:4" x14ac:dyDescent="0.25">
      <c r="A66" s="18" t="s">
        <v>280</v>
      </c>
      <c r="B66">
        <v>2</v>
      </c>
      <c r="C66" s="19">
        <v>9.5</v>
      </c>
      <c r="D66" s="26">
        <v>512594.79000000004</v>
      </c>
    </row>
    <row r="67" spans="1:4" x14ac:dyDescent="0.25">
      <c r="A67" s="18" t="s">
        <v>76</v>
      </c>
      <c r="B67">
        <v>13</v>
      </c>
      <c r="C67" s="19">
        <v>16.105263157894736</v>
      </c>
      <c r="D67" s="26">
        <v>150400.02315789482</v>
      </c>
    </row>
    <row r="68" spans="1:4" x14ac:dyDescent="0.25">
      <c r="A68" s="18" t="s">
        <v>279</v>
      </c>
      <c r="B68">
        <v>20</v>
      </c>
      <c r="C68" s="19">
        <v>17.030303030303031</v>
      </c>
      <c r="D68" s="26">
        <v>71995.091313131299</v>
      </c>
    </row>
    <row r="69" spans="1:4" x14ac:dyDescent="0.25">
      <c r="A69" s="18"/>
      <c r="C69" s="19"/>
      <c r="D69" s="26"/>
    </row>
    <row r="70" spans="1:4" x14ac:dyDescent="0.25">
      <c r="A70" s="18"/>
      <c r="C70" s="19"/>
      <c r="D70" s="26"/>
    </row>
    <row r="71" spans="1:4" x14ac:dyDescent="0.25">
      <c r="A71" s="31" t="s">
        <v>366</v>
      </c>
      <c r="B71" s="31"/>
      <c r="C71" s="31"/>
      <c r="D71" s="31"/>
    </row>
    <row r="72" spans="1:4" x14ac:dyDescent="0.25">
      <c r="A72" s="17" t="s">
        <v>3</v>
      </c>
      <c r="B72" t="s">
        <v>353</v>
      </c>
      <c r="C72" t="s">
        <v>281</v>
      </c>
      <c r="D72" t="s">
        <v>344</v>
      </c>
    </row>
    <row r="73" spans="1:4" x14ac:dyDescent="0.25">
      <c r="A73" s="18"/>
      <c r="B73">
        <v>4</v>
      </c>
      <c r="C73" s="19">
        <v>21.25</v>
      </c>
      <c r="D73" s="26">
        <v>96580.092500000028</v>
      </c>
    </row>
    <row r="74" spans="1:4" x14ac:dyDescent="0.25">
      <c r="A74" s="18" t="s">
        <v>19</v>
      </c>
      <c r="B74">
        <v>16</v>
      </c>
      <c r="C74" s="19">
        <v>14.181818181818182</v>
      </c>
      <c r="D74" s="26">
        <v>158225.3595454545</v>
      </c>
    </row>
    <row r="75" spans="1:4" x14ac:dyDescent="0.25">
      <c r="A75" s="18" t="s">
        <v>117</v>
      </c>
      <c r="B75">
        <v>14</v>
      </c>
      <c r="C75" s="19">
        <v>12.521739130434783</v>
      </c>
      <c r="D75" s="26">
        <v>58089.56043478255</v>
      </c>
    </row>
    <row r="76" spans="1:4" x14ac:dyDescent="0.25">
      <c r="A76" s="18" t="s">
        <v>58</v>
      </c>
      <c r="B76">
        <v>10</v>
      </c>
      <c r="C76" s="19">
        <v>14.375</v>
      </c>
      <c r="D76" s="26">
        <v>245501.48187500006</v>
      </c>
    </row>
    <row r="77" spans="1:4" x14ac:dyDescent="0.25">
      <c r="A77" s="18" t="s">
        <v>28</v>
      </c>
      <c r="B77">
        <v>12</v>
      </c>
      <c r="C77" s="19">
        <v>21.923076923076923</v>
      </c>
      <c r="D77" s="26">
        <v>-35659.4461538463</v>
      </c>
    </row>
    <row r="78" spans="1:4" x14ac:dyDescent="0.25">
      <c r="A78" s="18" t="s">
        <v>37</v>
      </c>
      <c r="B78">
        <v>15</v>
      </c>
      <c r="C78" s="19">
        <v>23.142857142857142</v>
      </c>
      <c r="D78" s="26">
        <v>-73346.430476190348</v>
      </c>
    </row>
    <row r="79" spans="1:4" x14ac:dyDescent="0.25">
      <c r="A79" s="18" t="s">
        <v>279</v>
      </c>
      <c r="B79">
        <v>20</v>
      </c>
      <c r="C79" s="19">
        <v>17.030303030303031</v>
      </c>
      <c r="D79" s="26">
        <v>71995.091313131299</v>
      </c>
    </row>
    <row r="80" spans="1:4" x14ac:dyDescent="0.25">
      <c r="A80" s="18"/>
      <c r="C80" s="19"/>
      <c r="D80" s="26"/>
    </row>
    <row r="81" spans="1:4" x14ac:dyDescent="0.25">
      <c r="A81" s="18"/>
      <c r="C81" s="19"/>
      <c r="D81" s="26"/>
    </row>
    <row r="82" spans="1:4" x14ac:dyDescent="0.25">
      <c r="A82" s="31" t="s">
        <v>374</v>
      </c>
      <c r="B82" s="31"/>
    </row>
    <row r="83" spans="1:4" x14ac:dyDescent="0.25">
      <c r="A83" s="17" t="s">
        <v>347</v>
      </c>
      <c r="B83" t="s">
        <v>353</v>
      </c>
    </row>
    <row r="84" spans="1:4" x14ac:dyDescent="0.25">
      <c r="A84" s="18" t="s">
        <v>345</v>
      </c>
      <c r="B84">
        <v>7</v>
      </c>
    </row>
    <row r="85" spans="1:4" x14ac:dyDescent="0.25">
      <c r="A85" s="18" t="s">
        <v>346</v>
      </c>
      <c r="B85">
        <v>7</v>
      </c>
    </row>
    <row r="86" spans="1:4" x14ac:dyDescent="0.25">
      <c r="A86" s="18" t="s">
        <v>77</v>
      </c>
      <c r="B86">
        <v>20</v>
      </c>
    </row>
    <row r="87" spans="1:4" x14ac:dyDescent="0.25">
      <c r="A87" s="18" t="s">
        <v>279</v>
      </c>
      <c r="B87">
        <v>20</v>
      </c>
    </row>
    <row r="88" spans="1:4" x14ac:dyDescent="0.25">
      <c r="A88" s="18"/>
    </row>
    <row r="89" spans="1:4" x14ac:dyDescent="0.25">
      <c r="A89" s="18"/>
      <c r="C89" s="9"/>
    </row>
    <row r="90" spans="1:4" x14ac:dyDescent="0.25">
      <c r="A90" s="31" t="s">
        <v>379</v>
      </c>
      <c r="B90" s="31"/>
    </row>
    <row r="91" spans="1:4" x14ac:dyDescent="0.25">
      <c r="A91" s="17" t="s">
        <v>360</v>
      </c>
      <c r="B91" t="s" vm="2">
        <v>375</v>
      </c>
    </row>
    <row r="92" spans="1:4" x14ac:dyDescent="0.25">
      <c r="A92" s="31"/>
      <c r="B92" s="31"/>
    </row>
    <row r="93" spans="1:4" x14ac:dyDescent="0.25">
      <c r="A93" s="17" t="s">
        <v>269</v>
      </c>
      <c r="B93" t="s">
        <v>365</v>
      </c>
    </row>
    <row r="94" spans="1:4" x14ac:dyDescent="0.25">
      <c r="A94" s="18" t="s">
        <v>341</v>
      </c>
      <c r="B94">
        <v>2</v>
      </c>
    </row>
    <row r="95" spans="1:4" x14ac:dyDescent="0.25">
      <c r="A95" s="18" t="s">
        <v>342</v>
      </c>
      <c r="B95">
        <v>11</v>
      </c>
    </row>
    <row r="96" spans="1:4" x14ac:dyDescent="0.25">
      <c r="A96" s="18" t="s">
        <v>343</v>
      </c>
      <c r="B96">
        <v>7</v>
      </c>
    </row>
    <row r="97" spans="1:2" x14ac:dyDescent="0.25">
      <c r="A97" s="18" t="s">
        <v>279</v>
      </c>
      <c r="B97">
        <v>20</v>
      </c>
    </row>
    <row r="98" spans="1:2" x14ac:dyDescent="0.25">
      <c r="A98" s="18"/>
    </row>
    <row r="99" spans="1:2" x14ac:dyDescent="0.25">
      <c r="A99" s="18"/>
    </row>
    <row r="100" spans="1:2" x14ac:dyDescent="0.25">
      <c r="A100" s="31" t="s">
        <v>380</v>
      </c>
      <c r="B100" s="31"/>
    </row>
    <row r="101" spans="1:2" x14ac:dyDescent="0.25">
      <c r="A101" s="17" t="s">
        <v>360</v>
      </c>
      <c r="B101" t="s" vm="2">
        <v>375</v>
      </c>
    </row>
    <row r="102" spans="1:2" x14ac:dyDescent="0.25">
      <c r="A102" s="31"/>
      <c r="B102" s="31"/>
    </row>
    <row r="103" spans="1:2" x14ac:dyDescent="0.25">
      <c r="A103" s="17" t="s">
        <v>271</v>
      </c>
      <c r="B103" t="s">
        <v>365</v>
      </c>
    </row>
    <row r="104" spans="1:2" x14ac:dyDescent="0.25">
      <c r="A104" s="18" t="s">
        <v>338</v>
      </c>
      <c r="B104">
        <v>6</v>
      </c>
    </row>
    <row r="105" spans="1:2" x14ac:dyDescent="0.25">
      <c r="A105" s="18" t="s">
        <v>339</v>
      </c>
      <c r="B105">
        <v>14</v>
      </c>
    </row>
    <row r="106" spans="1:2" x14ac:dyDescent="0.25">
      <c r="A106" s="18" t="s">
        <v>279</v>
      </c>
      <c r="B106">
        <v>20</v>
      </c>
    </row>
    <row r="108" spans="1:2" x14ac:dyDescent="0.25">
      <c r="A108" s="18"/>
    </row>
    <row r="109" spans="1:2" x14ac:dyDescent="0.25">
      <c r="A109" s="31" t="s">
        <v>381</v>
      </c>
      <c r="B109" s="31"/>
    </row>
    <row r="110" spans="1:2" x14ac:dyDescent="0.25">
      <c r="A110" s="17" t="s">
        <v>360</v>
      </c>
      <c r="B110" t="s" vm="2">
        <v>375</v>
      </c>
    </row>
    <row r="111" spans="1:2" x14ac:dyDescent="0.25">
      <c r="A111" s="31"/>
      <c r="B111" s="31"/>
    </row>
    <row r="112" spans="1:2" x14ac:dyDescent="0.25">
      <c r="A112" s="17" t="s">
        <v>272</v>
      </c>
      <c r="B112" t="s">
        <v>365</v>
      </c>
    </row>
    <row r="113" spans="1:4" x14ac:dyDescent="0.25">
      <c r="A113" s="18" t="s">
        <v>54</v>
      </c>
      <c r="B113">
        <v>6</v>
      </c>
    </row>
    <row r="114" spans="1:4" x14ac:dyDescent="0.25">
      <c r="A114" s="18" t="s">
        <v>49</v>
      </c>
      <c r="B114">
        <v>9</v>
      </c>
    </row>
    <row r="115" spans="1:4" x14ac:dyDescent="0.25">
      <c r="A115" s="18" t="s">
        <v>24</v>
      </c>
      <c r="B115">
        <v>4</v>
      </c>
    </row>
    <row r="116" spans="1:4" x14ac:dyDescent="0.25">
      <c r="A116" s="18" t="s">
        <v>265</v>
      </c>
      <c r="B116">
        <v>1</v>
      </c>
    </row>
    <row r="117" spans="1:4" x14ac:dyDescent="0.25">
      <c r="A117" s="18" t="s">
        <v>279</v>
      </c>
      <c r="B117">
        <v>20</v>
      </c>
    </row>
    <row r="120" spans="1:4" x14ac:dyDescent="0.25">
      <c r="A120" s="31" t="s">
        <v>273</v>
      </c>
      <c r="B120" s="31"/>
    </row>
    <row r="121" spans="1:4" x14ac:dyDescent="0.25">
      <c r="A121" s="17" t="s">
        <v>360</v>
      </c>
      <c r="B121" t="s" vm="2">
        <v>375</v>
      </c>
    </row>
    <row r="123" spans="1:4" x14ac:dyDescent="0.25">
      <c r="A123" s="17" t="s">
        <v>273</v>
      </c>
      <c r="B123" t="s">
        <v>365</v>
      </c>
    </row>
    <row r="124" spans="1:4" x14ac:dyDescent="0.25">
      <c r="A124" s="18" t="s">
        <v>376</v>
      </c>
      <c r="B124">
        <v>7</v>
      </c>
    </row>
    <row r="125" spans="1:4" x14ac:dyDescent="0.25">
      <c r="A125" s="18" t="s">
        <v>377</v>
      </c>
      <c r="B125">
        <v>5</v>
      </c>
      <c r="D125" s="9"/>
    </row>
    <row r="126" spans="1:4" x14ac:dyDescent="0.25">
      <c r="A126" s="18" t="s">
        <v>378</v>
      </c>
      <c r="B126">
        <v>7</v>
      </c>
      <c r="D126" s="9"/>
    </row>
    <row r="127" spans="1:4" x14ac:dyDescent="0.25">
      <c r="A127" s="18" t="s">
        <v>265</v>
      </c>
      <c r="B127">
        <v>1</v>
      </c>
    </row>
    <row r="128" spans="1:4" x14ac:dyDescent="0.25">
      <c r="A128" s="18" t="s">
        <v>279</v>
      </c>
      <c r="B128">
        <v>20</v>
      </c>
    </row>
  </sheetData>
  <pageMargins left="0.7" right="0.7" top="0.75" bottom="0.75" header="0.3" footer="0.3"/>
  <pageSetup orientation="portrait"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CE6DD-0A2B-431A-A5D7-8F50038B52BF}">
  <dimension ref="A10:P22"/>
  <sheetViews>
    <sheetView showGridLines="0" zoomScale="91" zoomScaleNormal="91" workbookViewId="0">
      <selection sqref="A1:XFD1048576"/>
    </sheetView>
  </sheetViews>
  <sheetFormatPr defaultRowHeight="15" x14ac:dyDescent="0.25"/>
  <cols>
    <col min="1" max="13" width="9.140625" style="43"/>
    <col min="14" max="14" width="13" style="43" customWidth="1"/>
    <col min="15" max="16384" width="9.140625" style="43"/>
  </cols>
  <sheetData>
    <row r="10" spans="1:16" x14ac:dyDescent="0.25">
      <c r="A10" s="40"/>
      <c r="B10" s="41"/>
      <c r="C10" s="41"/>
      <c r="D10" s="41"/>
      <c r="E10" s="41"/>
      <c r="F10" s="41"/>
      <c r="G10" s="42"/>
    </row>
    <row r="11" spans="1:16" x14ac:dyDescent="0.25">
      <c r="A11" s="44"/>
      <c r="P11" s="45"/>
    </row>
    <row r="12" spans="1:16" x14ac:dyDescent="0.25">
      <c r="A12" s="44"/>
    </row>
    <row r="13" spans="1:16" x14ac:dyDescent="0.25">
      <c r="A13" s="44"/>
    </row>
    <row r="14" spans="1:16" x14ac:dyDescent="0.25">
      <c r="A14" s="44"/>
    </row>
    <row r="15" spans="1:16" x14ac:dyDescent="0.25">
      <c r="A15" s="44"/>
    </row>
    <row r="16" spans="1:16" x14ac:dyDescent="0.25">
      <c r="A16" s="44"/>
    </row>
    <row r="17" spans="1:8" x14ac:dyDescent="0.25">
      <c r="A17" s="46"/>
    </row>
    <row r="22" spans="1:8" x14ac:dyDescent="0.25">
      <c r="H22" s="41"/>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6CC9F-74F8-4D33-9086-5612067D4B3D}">
  <dimension ref="A1:J119"/>
  <sheetViews>
    <sheetView topLeftCell="A5" workbookViewId="0">
      <selection activeCell="A25" sqref="A25"/>
    </sheetView>
  </sheetViews>
  <sheetFormatPr defaultRowHeight="15" x14ac:dyDescent="0.25"/>
  <cols>
    <col min="1" max="1" width="255.7109375" bestFit="1" customWidth="1"/>
  </cols>
  <sheetData>
    <row r="1" spans="1:1" s="23" customFormat="1" x14ac:dyDescent="0.25">
      <c r="A1" s="23" t="s">
        <v>275</v>
      </c>
    </row>
    <row r="2" spans="1:1" s="23" customFormat="1" x14ac:dyDescent="0.25"/>
    <row r="3" spans="1:1" s="10" customFormat="1" x14ac:dyDescent="0.25">
      <c r="A3" s="10" t="s">
        <v>329</v>
      </c>
    </row>
    <row r="4" spans="1:1" s="24" customFormat="1" x14ac:dyDescent="0.25">
      <c r="A4" s="24" t="s">
        <v>330</v>
      </c>
    </row>
    <row r="5" spans="1:1" s="24" customFormat="1" x14ac:dyDescent="0.25">
      <c r="A5" s="24" t="s">
        <v>331</v>
      </c>
    </row>
    <row r="6" spans="1:1" s="24" customFormat="1" x14ac:dyDescent="0.25">
      <c r="A6" s="24" t="s">
        <v>332</v>
      </c>
    </row>
    <row r="7" spans="1:1" s="24" customFormat="1" x14ac:dyDescent="0.25">
      <c r="A7" s="24" t="s">
        <v>333</v>
      </c>
    </row>
    <row r="8" spans="1:1" s="24" customFormat="1" x14ac:dyDescent="0.25">
      <c r="A8" s="24" t="s">
        <v>335</v>
      </c>
    </row>
    <row r="9" spans="1:1" s="24" customFormat="1" x14ac:dyDescent="0.25">
      <c r="A9" s="24" t="s">
        <v>334</v>
      </c>
    </row>
    <row r="10" spans="1:1" s="24" customFormat="1" x14ac:dyDescent="0.25">
      <c r="A10" s="24" t="s">
        <v>336</v>
      </c>
    </row>
    <row r="11" spans="1:1" s="24" customFormat="1" x14ac:dyDescent="0.25">
      <c r="A11" s="24" t="s">
        <v>337</v>
      </c>
    </row>
    <row r="12" spans="1:1" s="24" customFormat="1" x14ac:dyDescent="0.25"/>
    <row r="13" spans="1:1" s="10" customFormat="1" x14ac:dyDescent="0.25">
      <c r="A13" s="10" t="s">
        <v>327</v>
      </c>
    </row>
    <row r="14" spans="1:1" x14ac:dyDescent="0.25">
      <c r="A14" t="s">
        <v>462</v>
      </c>
    </row>
    <row r="15" spans="1:1" x14ac:dyDescent="0.25">
      <c r="A15" t="s">
        <v>463</v>
      </c>
    </row>
    <row r="16" spans="1:1" x14ac:dyDescent="0.25">
      <c r="A16" t="s">
        <v>464</v>
      </c>
    </row>
    <row r="17" spans="1:1" x14ac:dyDescent="0.25">
      <c r="A17" t="s">
        <v>465</v>
      </c>
    </row>
    <row r="18" spans="1:1" x14ac:dyDescent="0.25">
      <c r="A18" t="s">
        <v>466</v>
      </c>
    </row>
    <row r="19" spans="1:1" x14ac:dyDescent="0.25">
      <c r="A19" t="s">
        <v>467</v>
      </c>
    </row>
    <row r="20" spans="1:1" x14ac:dyDescent="0.25">
      <c r="A20" t="s">
        <v>468</v>
      </c>
    </row>
    <row r="21" spans="1:1" x14ac:dyDescent="0.25">
      <c r="A21" t="s">
        <v>469</v>
      </c>
    </row>
    <row r="22" spans="1:1" x14ac:dyDescent="0.25">
      <c r="A22" t="s">
        <v>470</v>
      </c>
    </row>
    <row r="23" spans="1:1" x14ac:dyDescent="0.25">
      <c r="A23" t="s">
        <v>471</v>
      </c>
    </row>
    <row r="24" spans="1:1" x14ac:dyDescent="0.25">
      <c r="A24" t="s">
        <v>460</v>
      </c>
    </row>
    <row r="25" spans="1:1" x14ac:dyDescent="0.25">
      <c r="A25" t="s">
        <v>461</v>
      </c>
    </row>
    <row r="26" spans="1:1" x14ac:dyDescent="0.25">
      <c r="A26" s="35"/>
    </row>
    <row r="27" spans="1:1" s="10" customFormat="1" x14ac:dyDescent="0.25">
      <c r="A27" s="10" t="s">
        <v>278</v>
      </c>
    </row>
    <row r="28" spans="1:1" x14ac:dyDescent="0.25">
      <c r="A28" t="s">
        <v>427</v>
      </c>
    </row>
    <row r="29" spans="1:1" x14ac:dyDescent="0.25">
      <c r="A29" t="s">
        <v>428</v>
      </c>
    </row>
    <row r="30" spans="1:1" x14ac:dyDescent="0.25">
      <c r="A30" t="s">
        <v>429</v>
      </c>
    </row>
    <row r="31" spans="1:1" x14ac:dyDescent="0.25">
      <c r="A31" t="s">
        <v>430</v>
      </c>
    </row>
    <row r="32" spans="1:1" x14ac:dyDescent="0.25">
      <c r="A32" t="s">
        <v>431</v>
      </c>
    </row>
    <row r="33" spans="1:1" x14ac:dyDescent="0.25">
      <c r="A33" t="s">
        <v>432</v>
      </c>
    </row>
    <row r="34" spans="1:1" x14ac:dyDescent="0.25">
      <c r="A34" t="s">
        <v>433</v>
      </c>
    </row>
    <row r="35" spans="1:1" x14ac:dyDescent="0.25">
      <c r="A35" t="s">
        <v>434</v>
      </c>
    </row>
    <row r="36" spans="1:1" x14ac:dyDescent="0.25">
      <c r="A36" t="s">
        <v>435</v>
      </c>
    </row>
    <row r="37" spans="1:1" x14ac:dyDescent="0.25">
      <c r="A37" t="s">
        <v>436</v>
      </c>
    </row>
    <row r="38" spans="1:1" x14ac:dyDescent="0.25">
      <c r="A38" t="s">
        <v>437</v>
      </c>
    </row>
    <row r="40" spans="1:1" x14ac:dyDescent="0.25">
      <c r="A40" t="s">
        <v>270</v>
      </c>
    </row>
    <row r="41" spans="1:1" x14ac:dyDescent="0.25">
      <c r="A41" t="s">
        <v>274</v>
      </c>
    </row>
    <row r="42" spans="1:1" x14ac:dyDescent="0.25">
      <c r="A42" t="s">
        <v>438</v>
      </c>
    </row>
    <row r="43" spans="1:1" x14ac:dyDescent="0.25">
      <c r="A43" t="s">
        <v>357</v>
      </c>
    </row>
    <row r="44" spans="1:1" x14ac:dyDescent="0.25">
      <c r="A44" t="s">
        <v>358</v>
      </c>
    </row>
    <row r="46" spans="1:1" s="10" customFormat="1" x14ac:dyDescent="0.25"/>
    <row r="47" spans="1:1" s="10" customFormat="1" x14ac:dyDescent="0.25">
      <c r="A47" s="10" t="s">
        <v>325</v>
      </c>
    </row>
    <row r="48" spans="1:1" s="10" customFormat="1" x14ac:dyDescent="0.25">
      <c r="A48" s="10" t="s">
        <v>359</v>
      </c>
    </row>
    <row r="49" spans="1:1" x14ac:dyDescent="0.25">
      <c r="A49" t="s">
        <v>439</v>
      </c>
    </row>
    <row r="50" spans="1:1" x14ac:dyDescent="0.25">
      <c r="A50" t="s">
        <v>440</v>
      </c>
    </row>
    <row r="51" spans="1:1" x14ac:dyDescent="0.25">
      <c r="A51" t="s">
        <v>441</v>
      </c>
    </row>
    <row r="52" spans="1:1" x14ac:dyDescent="0.25">
      <c r="A52" t="s">
        <v>442</v>
      </c>
    </row>
    <row r="53" spans="1:1" x14ac:dyDescent="0.25">
      <c r="A53" t="s">
        <v>443</v>
      </c>
    </row>
    <row r="54" spans="1:1" x14ac:dyDescent="0.25">
      <c r="A54" t="s">
        <v>444</v>
      </c>
    </row>
    <row r="55" spans="1:1" x14ac:dyDescent="0.25">
      <c r="A55" t="s">
        <v>445</v>
      </c>
    </row>
    <row r="56" spans="1:1" x14ac:dyDescent="0.25">
      <c r="A56" t="s">
        <v>446</v>
      </c>
    </row>
    <row r="57" spans="1:1" x14ac:dyDescent="0.25">
      <c r="A57" t="s">
        <v>447</v>
      </c>
    </row>
    <row r="58" spans="1:1" x14ac:dyDescent="0.25">
      <c r="A58" t="s">
        <v>448</v>
      </c>
    </row>
    <row r="59" spans="1:1" x14ac:dyDescent="0.25">
      <c r="A59" t="s">
        <v>449</v>
      </c>
    </row>
    <row r="60" spans="1:1" x14ac:dyDescent="0.25">
      <c r="A60" t="s">
        <v>450</v>
      </c>
    </row>
    <row r="61" spans="1:1" x14ac:dyDescent="0.25">
      <c r="A61" t="s">
        <v>451</v>
      </c>
    </row>
    <row r="62" spans="1:1" s="10" customFormat="1" x14ac:dyDescent="0.25"/>
    <row r="63" spans="1:1" s="10" customFormat="1" ht="15.75" x14ac:dyDescent="0.25">
      <c r="A63" s="38" t="s">
        <v>326</v>
      </c>
    </row>
    <row r="64" spans="1:1" s="22" customFormat="1" x14ac:dyDescent="0.25">
      <c r="A64" s="39" t="s">
        <v>452</v>
      </c>
    </row>
    <row r="65" spans="1:1" x14ac:dyDescent="0.25">
      <c r="A65" t="s">
        <v>453</v>
      </c>
    </row>
    <row r="66" spans="1:1" x14ac:dyDescent="0.25">
      <c r="A66" t="s">
        <v>342</v>
      </c>
    </row>
    <row r="67" spans="1:1" x14ac:dyDescent="0.25">
      <c r="A67" t="s">
        <v>339</v>
      </c>
    </row>
    <row r="68" spans="1:1" x14ac:dyDescent="0.25">
      <c r="A68" t="s">
        <v>454</v>
      </c>
    </row>
    <row r="70" spans="1:1" x14ac:dyDescent="0.25">
      <c r="A70" s="39" t="s">
        <v>459</v>
      </c>
    </row>
    <row r="71" spans="1:1" x14ac:dyDescent="0.25">
      <c r="A71" t="s">
        <v>455</v>
      </c>
    </row>
    <row r="72" spans="1:1" x14ac:dyDescent="0.25">
      <c r="A72" t="s">
        <v>456</v>
      </c>
    </row>
    <row r="73" spans="1:1" x14ac:dyDescent="0.25">
      <c r="A73" t="s">
        <v>457</v>
      </c>
    </row>
    <row r="74" spans="1:1" x14ac:dyDescent="0.25">
      <c r="A74" t="s">
        <v>458</v>
      </c>
    </row>
    <row r="119" spans="10:10" x14ac:dyDescent="0.25">
      <c r="J119" s="11"/>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
  <sheetViews>
    <sheetView workbookViewId="0">
      <pane ySplit="1" topLeftCell="A2" activePane="bottomLeft" state="frozen"/>
      <selection pane="bottomLeft" activeCell="B25" sqref="B25"/>
    </sheetView>
  </sheetViews>
  <sheetFormatPr defaultRowHeight="15" x14ac:dyDescent="0.25"/>
  <cols>
    <col min="1" max="1" width="23" customWidth="1"/>
    <col min="2" max="2" width="48" customWidth="1"/>
    <col min="3" max="3" width="20" customWidth="1"/>
    <col min="4" max="4" width="48" customWidth="1"/>
  </cols>
  <sheetData>
    <row r="1" spans="1:4" ht="30" customHeight="1" x14ac:dyDescent="0.25">
      <c r="A1" s="1" t="s">
        <v>324</v>
      </c>
      <c r="B1" s="1" t="s">
        <v>323</v>
      </c>
      <c r="C1" s="1" t="s">
        <v>322</v>
      </c>
      <c r="D1" s="1" t="s">
        <v>321</v>
      </c>
    </row>
    <row r="2" spans="1:4" x14ac:dyDescent="0.25">
      <c r="A2" s="2" t="s">
        <v>0</v>
      </c>
      <c r="B2" s="2" t="s">
        <v>320</v>
      </c>
      <c r="C2" s="2" t="s">
        <v>305</v>
      </c>
      <c r="D2" s="2" t="s">
        <v>319</v>
      </c>
    </row>
    <row r="3" spans="1:4" x14ac:dyDescent="0.25">
      <c r="A3" s="2" t="s">
        <v>1</v>
      </c>
      <c r="B3" s="2" t="s">
        <v>318</v>
      </c>
      <c r="C3" s="2" t="s">
        <v>305</v>
      </c>
      <c r="D3" s="2" t="s">
        <v>317</v>
      </c>
    </row>
    <row r="4" spans="1:4" x14ac:dyDescent="0.25">
      <c r="A4" s="2" t="s">
        <v>2</v>
      </c>
      <c r="B4" s="2" t="s">
        <v>316</v>
      </c>
      <c r="C4" s="2" t="s">
        <v>305</v>
      </c>
      <c r="D4" s="2" t="s">
        <v>315</v>
      </c>
    </row>
    <row r="5" spans="1:4" ht="30" x14ac:dyDescent="0.25">
      <c r="A5" s="2" t="s">
        <v>3</v>
      </c>
      <c r="B5" s="2" t="s">
        <v>314</v>
      </c>
      <c r="C5" s="2" t="s">
        <v>305</v>
      </c>
      <c r="D5" s="2" t="s">
        <v>313</v>
      </c>
    </row>
    <row r="6" spans="1:4" ht="30" x14ac:dyDescent="0.25">
      <c r="A6" s="2" t="s">
        <v>4</v>
      </c>
      <c r="B6" s="2" t="s">
        <v>312</v>
      </c>
      <c r="C6" s="2" t="s">
        <v>305</v>
      </c>
      <c r="D6" s="2" t="s">
        <v>311</v>
      </c>
    </row>
    <row r="7" spans="1:4" ht="30" x14ac:dyDescent="0.25">
      <c r="A7" s="2" t="s">
        <v>5</v>
      </c>
      <c r="B7" s="2" t="s">
        <v>310</v>
      </c>
      <c r="C7" s="2" t="s">
        <v>305</v>
      </c>
      <c r="D7" s="2" t="s">
        <v>309</v>
      </c>
    </row>
    <row r="8" spans="1:4" x14ac:dyDescent="0.25">
      <c r="A8" s="2" t="s">
        <v>6</v>
      </c>
      <c r="B8" s="2" t="s">
        <v>308</v>
      </c>
      <c r="C8" s="2" t="s">
        <v>305</v>
      </c>
      <c r="D8" s="2" t="s">
        <v>307</v>
      </c>
    </row>
    <row r="9" spans="1:4" x14ac:dyDescent="0.25">
      <c r="A9" s="2" t="s">
        <v>7</v>
      </c>
      <c r="B9" s="2" t="s">
        <v>306</v>
      </c>
      <c r="C9" s="2" t="s">
        <v>305</v>
      </c>
      <c r="D9" s="2" t="s">
        <v>304</v>
      </c>
    </row>
    <row r="10" spans="1:4" x14ac:dyDescent="0.25">
      <c r="A10" s="2" t="s">
        <v>8</v>
      </c>
      <c r="B10" s="2" t="s">
        <v>303</v>
      </c>
      <c r="C10" s="2" t="s">
        <v>302</v>
      </c>
      <c r="D10" s="2" t="s">
        <v>301</v>
      </c>
    </row>
    <row r="11" spans="1:4" x14ac:dyDescent="0.25">
      <c r="A11" s="2" t="s">
        <v>9</v>
      </c>
      <c r="B11" s="2" t="s">
        <v>300</v>
      </c>
      <c r="C11" s="2" t="s">
        <v>297</v>
      </c>
      <c r="D11" s="2" t="s">
        <v>299</v>
      </c>
    </row>
    <row r="12" spans="1:4" x14ac:dyDescent="0.25">
      <c r="A12" s="2" t="s">
        <v>10</v>
      </c>
      <c r="B12" s="2" t="s">
        <v>298</v>
      </c>
      <c r="C12" s="2" t="s">
        <v>297</v>
      </c>
      <c r="D12" s="2" t="s">
        <v>296</v>
      </c>
    </row>
    <row r="13" spans="1:4" x14ac:dyDescent="0.25">
      <c r="A13" s="2" t="s">
        <v>11</v>
      </c>
      <c r="B13" s="2" t="s">
        <v>295</v>
      </c>
      <c r="C13" s="2" t="s">
        <v>292</v>
      </c>
      <c r="D13" s="2" t="s">
        <v>294</v>
      </c>
    </row>
    <row r="14" spans="1:4" x14ac:dyDescent="0.25">
      <c r="A14" s="2" t="s">
        <v>12</v>
      </c>
      <c r="B14" s="2" t="s">
        <v>293</v>
      </c>
      <c r="C14" s="2" t="s">
        <v>292</v>
      </c>
      <c r="D14" s="2" t="s">
        <v>291</v>
      </c>
    </row>
    <row r="15" spans="1:4" x14ac:dyDescent="0.25">
      <c r="A15" s="2" t="s">
        <v>13</v>
      </c>
      <c r="B15" s="2" t="s">
        <v>290</v>
      </c>
      <c r="C15" s="2" t="s">
        <v>289</v>
      </c>
      <c r="D15" s="2" t="s">
        <v>288</v>
      </c>
    </row>
    <row r="16" spans="1:4" ht="30" x14ac:dyDescent="0.25">
      <c r="A16" s="2" t="s">
        <v>14</v>
      </c>
      <c r="B16" s="2" t="s">
        <v>287</v>
      </c>
      <c r="C16" s="2" t="s">
        <v>286</v>
      </c>
      <c r="D16" s="2" t="s">
        <v>285</v>
      </c>
    </row>
    <row r="17" spans="1:4" x14ac:dyDescent="0.25">
      <c r="A17" s="2" t="s">
        <v>15</v>
      </c>
      <c r="B17" s="2" t="s">
        <v>284</v>
      </c>
      <c r="C17" s="2" t="s">
        <v>283</v>
      </c>
      <c r="D17" s="2" t="s">
        <v>282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5"/>
  <sheetViews>
    <sheetView workbookViewId="0">
      <pane ySplit="1" topLeftCell="A12" activePane="bottomLeft" state="frozen"/>
      <selection pane="bottomLeft" activeCell="A14" sqref="A14"/>
    </sheetView>
  </sheetViews>
  <sheetFormatPr defaultRowHeight="15" x14ac:dyDescent="0.25"/>
  <cols>
    <col min="1" max="1" width="48" customWidth="1"/>
  </cols>
  <sheetData>
    <row r="1" spans="1:1" ht="30" customHeight="1" x14ac:dyDescent="0.25">
      <c r="A1" s="1" t="s">
        <v>250</v>
      </c>
    </row>
    <row r="2" spans="1:1" ht="30" x14ac:dyDescent="0.25">
      <c r="A2" s="2" t="s">
        <v>251</v>
      </c>
    </row>
    <row r="3" spans="1:1" ht="60" x14ac:dyDescent="0.25">
      <c r="A3" s="2" t="s">
        <v>252</v>
      </c>
    </row>
    <row r="4" spans="1:1" ht="30" x14ac:dyDescent="0.25">
      <c r="A4" s="2" t="s">
        <v>253</v>
      </c>
    </row>
    <row r="5" spans="1:1" x14ac:dyDescent="0.25">
      <c r="A5" s="2" t="s">
        <v>254</v>
      </c>
    </row>
    <row r="6" spans="1:1" ht="30" x14ac:dyDescent="0.25">
      <c r="A6" s="2" t="s">
        <v>255</v>
      </c>
    </row>
    <row r="7" spans="1:1" ht="45" x14ac:dyDescent="0.25">
      <c r="A7" s="2" t="s">
        <v>256</v>
      </c>
    </row>
    <row r="8" spans="1:1" ht="45" x14ac:dyDescent="0.25">
      <c r="A8" s="2" t="s">
        <v>257</v>
      </c>
    </row>
    <row r="9" spans="1:1" ht="90" x14ac:dyDescent="0.25">
      <c r="A9" s="2" t="s">
        <v>258</v>
      </c>
    </row>
    <row r="10" spans="1:1" ht="45" x14ac:dyDescent="0.25">
      <c r="A10" s="2" t="s">
        <v>259</v>
      </c>
    </row>
    <row r="11" spans="1:1" ht="45" x14ac:dyDescent="0.25">
      <c r="A11" s="2" t="s">
        <v>260</v>
      </c>
    </row>
    <row r="12" spans="1:1" ht="60" x14ac:dyDescent="0.25">
      <c r="A12" s="2" t="s">
        <v>261</v>
      </c>
    </row>
    <row r="13" spans="1:1" ht="75" x14ac:dyDescent="0.25">
      <c r="A13" s="2" t="s">
        <v>262</v>
      </c>
    </row>
    <row r="14" spans="1:1" ht="60" x14ac:dyDescent="0.25">
      <c r="A14" s="2" t="s">
        <v>263</v>
      </c>
    </row>
    <row r="15" spans="1:1" ht="45" x14ac:dyDescent="0.25">
      <c r="A15" s="2" t="s">
        <v>264</v>
      </c>
    </row>
  </sheetData>
  <autoFilter ref="A1:A15" xr:uid="{00000000-0009-0000-0000-000002000000}"/>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Raw_Data</vt:lpstr>
      <vt:lpstr>Cleaned Data</vt:lpstr>
      <vt:lpstr>Business_Insights</vt:lpstr>
      <vt:lpstr>Analysis_Methodology</vt:lpstr>
      <vt:lpstr>Data_Cleaning_Process</vt:lpstr>
      <vt:lpstr>PT_Project_Overview</vt:lpstr>
      <vt:lpstr>Dashboard</vt:lpstr>
      <vt:lpstr>Project_Workflow_&amp;_Analysis_Not</vt:lpstr>
      <vt:lpstr>Data_Dictionary</vt:lpstr>
      <vt:lpstr>Project_Brief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Lavonia Patience Munedzimwe</cp:lastModifiedBy>
  <dcterms:created xsi:type="dcterms:W3CDTF">2026-10-01T13:05:06Z</dcterms:created>
  <dcterms:modified xsi:type="dcterms:W3CDTF">2026-10-17T13:35:13Z</dcterms:modified>
</cp:coreProperties>
</file>